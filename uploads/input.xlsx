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ython_mass_word_FINAL\"/>
    </mc:Choice>
  </mc:AlternateContent>
  <xr:revisionPtr revIDLastSave="0" documentId="13_ncr:1_{CB5829C2-DAE8-4DED-8E16-41F30791F594}" xr6:coauthVersionLast="47" xr6:coauthVersionMax="47" xr10:uidLastSave="{00000000-0000-0000-0000-000000000000}"/>
  <bookViews>
    <workbookView xWindow="-110" yWindow="-110" windowWidth="19420" windowHeight="11500" xr2:uid="{F243D4EE-F9EC-4441-8F60-FB4044932F4E}"/>
  </bookViews>
  <sheets>
    <sheet name="Sheet1" sheetId="1" r:id="rId1"/>
  </sheets>
  <definedNames>
    <definedName name="_xlnm._FilterDatabase" localSheetId="0" hidden="1">Sheet1!$A$1:$S$152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</calcChain>
</file>

<file path=xl/sharedStrings.xml><?xml version="1.0" encoding="utf-8"?>
<sst xmlns="http://schemas.openxmlformats.org/spreadsheetml/2006/main" count="404" uniqueCount="169">
  <si>
    <t>Bank</t>
  </si>
  <si>
    <t>User ID</t>
  </si>
  <si>
    <t>BC Trace No</t>
  </si>
  <si>
    <t>TPE Trans ID</t>
  </si>
  <si>
    <t>App ID</t>
  </si>
  <si>
    <t>Trans Time</t>
  </si>
  <si>
    <t>Amount</t>
  </si>
  <si>
    <t>Sub Trans Type</t>
  </si>
  <si>
    <t>Phone</t>
  </si>
  <si>
    <t>App User</t>
  </si>
  <si>
    <t>Note</t>
  </si>
  <si>
    <t>SUCCESSFUL</t>
  </si>
  <si>
    <t>Card Number</t>
  </si>
  <si>
    <t>tên file</t>
  </si>
  <si>
    <t>Status (BC)</t>
  </si>
  <si>
    <t>Connector Channel</t>
  </si>
  <si>
    <t>SỐ DƯ</t>
  </si>
  <si>
    <t>NGÀY TẠO VÍ</t>
  </si>
  <si>
    <t>NGÀY LIÊN KẾT</t>
  </si>
  <si>
    <t>LIÊN KẾT LẦN ĐẦU</t>
  </si>
  <si>
    <t>08/06/2026 17:24:17</t>
  </si>
  <si>
    <t>GD đã hoàn tiền vào ví</t>
  </si>
  <si>
    <t>08/06/2026 17:23:39</t>
  </si>
  <si>
    <t>08/06/2026 17:24:00</t>
  </si>
  <si>
    <t>08/06/2026 17:24:48</t>
  </si>
  <si>
    <t>09/06/2026 14:18:21</t>
  </si>
  <si>
    <t>09/06/2026 13:44:34</t>
  </si>
  <si>
    <t>09/06/2026 12:06:16</t>
  </si>
  <si>
    <t>09/06/2026 12:09:56</t>
  </si>
  <si>
    <t>09/06/2026 12:10:27</t>
  </si>
  <si>
    <t>09/06/2026 12:11:23</t>
  </si>
  <si>
    <t>09/06/2026 12:14:23</t>
  </si>
  <si>
    <t>09/06/2026 17:01:58</t>
  </si>
  <si>
    <t>09/06/2026 17:02:12</t>
  </si>
  <si>
    <t>09/06/2026 17:01:41</t>
  </si>
  <si>
    <t>09/06/2026 17:02:47</t>
  </si>
  <si>
    <t>09/06/2026 17:03:03</t>
  </si>
  <si>
    <t>09/06/2026 17:02:29</t>
  </si>
  <si>
    <t>09/06/2026 17:03:20</t>
  </si>
  <si>
    <t>03/06/2026 02:18:05</t>
  </si>
  <si>
    <t>06/06/2026 21:15:03</t>
  </si>
  <si>
    <t>31/05/2026 21:14:43</t>
  </si>
  <si>
    <t>09/06/2026 17:42:48</t>
  </si>
  <si>
    <t>09/05/2026 12:37:58</t>
  </si>
  <si>
    <t>16/05/2026 12:37:59</t>
  </si>
  <si>
    <t>23/05/2026 12:37:20</t>
  </si>
  <si>
    <t>09/06/2026 17:49:39</t>
  </si>
  <si>
    <t>09/06/2026 17:50:32</t>
  </si>
  <si>
    <t>09/06/2026 16:14:58</t>
  </si>
  <si>
    <t>09/06/2026 16:15:14</t>
  </si>
  <si>
    <t>09/06/2026 16:15:30</t>
  </si>
  <si>
    <t>09/06/2026 16:15:47</t>
  </si>
  <si>
    <t>09/06/2026 16:16:18</t>
  </si>
  <si>
    <t>09/06/2026 16:32:39</t>
  </si>
  <si>
    <t>09/06/2026 16:33:18</t>
  </si>
  <si>
    <t>09/06/2026 16:33:57</t>
  </si>
  <si>
    <t>09/06/2026 16:34:18</t>
  </si>
  <si>
    <t>09/06/2026 16:34:43</t>
  </si>
  <si>
    <t>09/06/2026 16:33:38</t>
  </si>
  <si>
    <t>09/06/2026 11:02:27</t>
  </si>
  <si>
    <t>09/06/2026 11:02:09</t>
  </si>
  <si>
    <t>09/06/2026 19:40:16</t>
  </si>
  <si>
    <t>09/06/2026 19:44:35</t>
  </si>
  <si>
    <t>09/06/2026 13:11:55</t>
  </si>
  <si>
    <t>09/06/2026 13:28:00</t>
  </si>
  <si>
    <t>07/06/2026 20:02:48</t>
  </si>
  <si>
    <t>08/06/2026 14:52:58</t>
  </si>
  <si>
    <t>09/06/2026 01:30:14</t>
  </si>
  <si>
    <t>09/06/2026 09:42:10</t>
  </si>
  <si>
    <t>29/05/2026 20:35:51</t>
  </si>
  <si>
    <t>29/05/2026 20:34:53</t>
  </si>
  <si>
    <t>29/05/2026 20:38:43</t>
  </si>
  <si>
    <t>29/05/2026 20:38:24</t>
  </si>
  <si>
    <t>29/05/2026 20:44:34</t>
  </si>
  <si>
    <t>29/05/2026 20:45:40</t>
  </si>
  <si>
    <t>29/05/2026 20:46:27</t>
  </si>
  <si>
    <t>UserRJE35QG72M</t>
  </si>
  <si>
    <t>UserTX8PGNQFOD</t>
  </si>
  <si>
    <t>UserKW4WN5O0B5</t>
  </si>
  <si>
    <t>User63DNGCE75B</t>
  </si>
  <si>
    <t>UserHXDRGBBJHU</t>
  </si>
  <si>
    <t>UserLFJCZPEWF9</t>
  </si>
  <si>
    <t>UserAEQ59UAXQ5</t>
  </si>
  <si>
    <t>UserA8Y80IFOVC</t>
  </si>
  <si>
    <t>UserDKWZ600G4K</t>
  </si>
  <si>
    <t>UserOTC6G7HQLG</t>
  </si>
  <si>
    <t>UserLH2YQQNHZO</t>
  </si>
  <si>
    <t>UserICTR6GF5M1</t>
  </si>
  <si>
    <t>UserQKAQLCPR6W</t>
  </si>
  <si>
    <t>UserLFP6M7ZO9N</t>
  </si>
  <si>
    <t>User7GPN2OGLCL</t>
  </si>
  <si>
    <t>UserPZXBRS4RTH</t>
  </si>
  <si>
    <t>UserNJAZGBPLX7</t>
  </si>
  <si>
    <t>UserHCWN1VQTZF</t>
  </si>
  <si>
    <t>User4M4F64YJPU</t>
  </si>
  <si>
    <t>UserFDS3W372JX</t>
  </si>
  <si>
    <t>User6AVHVEN0BO</t>
  </si>
  <si>
    <t>UserBDO4JZB9SO</t>
  </si>
  <si>
    <t>UserE7SQMEKLDJ</t>
  </si>
  <si>
    <t>UserI9RHIE1U67</t>
  </si>
  <si>
    <t>UserB1K29A2XRT</t>
  </si>
  <si>
    <t>UserM7EE4WHBZ2</t>
  </si>
  <si>
    <t>User2I93PFXB9S</t>
  </si>
  <si>
    <t>UserWXZWTO51JG</t>
  </si>
  <si>
    <t>Khách hàng J_331582</t>
  </si>
  <si>
    <t>Khách hàng E_766919</t>
  </si>
  <si>
    <t>Khách hàng K_578652</t>
  </si>
  <si>
    <t>Khách hàng U_152114</t>
  </si>
  <si>
    <t>Khách hàng F_262436</t>
  </si>
  <si>
    <t>Khách hàng W_475239</t>
  </si>
  <si>
    <t>Khách hàng T_479878</t>
  </si>
  <si>
    <t>Khách hàng Z_473292</t>
  </si>
  <si>
    <t>Khách hàng D_371439</t>
  </si>
  <si>
    <t>Khách hàng M_261093</t>
  </si>
  <si>
    <t>Khách hàng R_188383</t>
  </si>
  <si>
    <t>Khách hàng A_626941</t>
  </si>
  <si>
    <t>Khách hàng S_523289</t>
  </si>
  <si>
    <t>Khách hàng F_882358</t>
  </si>
  <si>
    <t>Khách hàng J_087704</t>
  </si>
  <si>
    <t>Khách hàng M_378525</t>
  </si>
  <si>
    <t>Khách hàng C_483639</t>
  </si>
  <si>
    <t>Khách hàng M_808763</t>
  </si>
  <si>
    <t>Khách hàng L_219134</t>
  </si>
  <si>
    <t>Khách hàng P_217423</t>
  </si>
  <si>
    <t>Khách hàng I_027741</t>
  </si>
  <si>
    <t>Khách hàng E_822937</t>
  </si>
  <si>
    <t>Khách hàng H_665631</t>
  </si>
  <si>
    <t>Khách hàng H_460396</t>
  </si>
  <si>
    <t>Khách hàng I_483415</t>
  </si>
  <si>
    <t>Khách hàng O_961894</t>
  </si>
  <si>
    <t>Khách hàng E_216873</t>
  </si>
  <si>
    <t>Khách hàng U_358759</t>
  </si>
  <si>
    <t>998846-0971</t>
  </si>
  <si>
    <t>389186-9383</t>
  </si>
  <si>
    <t>739194-6919</t>
  </si>
  <si>
    <t>283297-0207</t>
  </si>
  <si>
    <t>783656-8343</t>
  </si>
  <si>
    <t>292666-8016</t>
  </si>
  <si>
    <t>775923-8302</t>
  </si>
  <si>
    <t>602397-8667</t>
  </si>
  <si>
    <t>970449-1661</t>
  </si>
  <si>
    <t>995816-2414</t>
  </si>
  <si>
    <t>459548-9258</t>
  </si>
  <si>
    <t>160386-8010</t>
  </si>
  <si>
    <t>226912-5000</t>
  </si>
  <si>
    <t>460230-1435</t>
  </si>
  <si>
    <t>672542-4667</t>
  </si>
  <si>
    <t>742916-4788</t>
  </si>
  <si>
    <t>874561-9869</t>
  </si>
  <si>
    <t>877949-2661</t>
  </si>
  <si>
    <t>118438-6352</t>
  </si>
  <si>
    <t>920435-8812</t>
  </si>
  <si>
    <t>068711-3676</t>
  </si>
  <si>
    <t>698014-6994</t>
  </si>
  <si>
    <t>194902-3056</t>
  </si>
  <si>
    <t>203830-4793</t>
  </si>
  <si>
    <t>050742-6990</t>
  </si>
  <si>
    <t>958207-3956</t>
  </si>
  <si>
    <t>692172-0961</t>
  </si>
  <si>
    <t>388201-1838</t>
  </si>
  <si>
    <t>357879-2179</t>
  </si>
  <si>
    <t>911812-6522</t>
  </si>
  <si>
    <t>778097-6855</t>
  </si>
  <si>
    <t>140551-2055</t>
  </si>
  <si>
    <t>443055-5124</t>
  </si>
  <si>
    <t>676421-6439</t>
  </si>
  <si>
    <t>135381-3440</t>
  </si>
  <si>
    <t>Channel A</t>
  </si>
  <si>
    <t>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</si>
</sst>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9" fontId="4" fillId="0" borderId="0" xfId="0" applyNumberFormat="1" applyFont="1" applyFill="1" applyBorder="1" applyAlignment="1">
      <alignment wrapText="1"/>
    </xf>
    <xf numFmtId="49" fontId="5" fillId="0" borderId="0" xfId="0" applyNumberFormat="1" applyFont="1" applyFill="1" applyBorder="1" applyAlignment="1">
      <alignment wrapText="1"/>
    </xf>
    <xf numFmtId="49" fontId="4" fillId="0" borderId="0" xfId="1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/>
    <xf numFmtId="49" fontId="3" fillId="0" borderId="0" xfId="0" applyNumberFormat="1" applyFont="1" applyFill="1" applyBorder="1" applyAlignment="1">
      <alignment wrapText="1"/>
    </xf>
    <xf numFmtId="49" fontId="6" fillId="0" borderId="0" xfId="0" applyNumberFormat="1" applyFont="1" applyFill="1" applyBorder="1" applyAlignment="1">
      <alignment wrapText="1"/>
    </xf>
    <xf numFmtId="49" fontId="3" fillId="0" borderId="0" xfId="1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/>
    <xf numFmtId="14" fontId="3" fillId="0" borderId="0" xfId="0" applyNumberFormat="1" applyFont="1" applyFill="1" applyBorder="1" applyAlignment="1"/>
    <xf numFmtId="0" fontId="0" fillId="0" borderId="0" xfId="0" applyFont="1"/>
    <xf numFmtId="0" fontId="3" fillId="0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 applyAlignment="1">
      <alignment horizontal="center" wrapText="1"/>
    </xf>
    <xf numFmtId="0" fontId="3" fillId="0" borderId="0" xfId="1" applyNumberFormat="1" applyFont="1" applyFill="1" applyBorder="1" applyAlignment="1">
      <alignment horizontal="center" wrapText="1"/>
    </xf>
    <xf numFmtId="0" fontId="3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wrapText="1"/>
    </xf>
    <xf numFmtId="0" fontId="0" fillId="0" borderId="0" xfId="0" applyNumberFormat="1" applyFont="1"/>
    <xf numFmtId="0" fontId="7" fillId="0" borderId="0" xfId="0" applyFont="1" applyAlignment="1">
      <alignment wrapText="1"/>
    </xf>
    <xf numFmtId="14" fontId="3" fillId="0" borderId="0" xfId="0" applyNumberFormat="1" applyFont="1" applyFill="1" applyBorder="1" applyAlignment="1">
      <alignment horizontal="center"/>
    </xf>
    <xf numFmtId="14" fontId="7" fillId="0" borderId="0" xfId="0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004E-2394-402D-878E-DCE96402B0C8}">
  <dimension ref="A1:T153"/>
  <sheetViews>
    <sheetView tabSelected="1" zoomScale="70" zoomScaleNormal="70" workbookViewId="0">
      <selection activeCell="A6" sqref="A6"/>
    </sheetView>
  </sheetViews>
  <sheetFormatPr defaultColWidth="9.1796875" defaultRowHeight="14" x14ac:dyDescent="0.3"/>
  <cols>
    <col min="1" max="1" width="7.453125" style="1" bestFit="1" customWidth="1"/>
    <col min="2" max="2" width="30.54296875" style="1" bestFit="1" customWidth="1"/>
    <col min="3" max="3" width="23.1796875" style="2" bestFit="1" customWidth="1"/>
    <col min="4" max="4" width="20.7265625" style="1" bestFit="1" customWidth="1"/>
    <col min="5" max="5" width="23.1796875" style="1" bestFit="1" customWidth="1"/>
    <col min="6" max="6" width="17.1796875" style="1" bestFit="1" customWidth="1"/>
    <col min="7" max="7" width="17.453125" style="1" bestFit="1" customWidth="1"/>
    <col min="8" max="8" width="25.7265625" style="1" bestFit="1" customWidth="1"/>
    <col min="9" max="9" width="11.7265625" style="3" bestFit="1" customWidth="1"/>
    <col min="10" max="10" width="34" style="1" bestFit="1" customWidth="1"/>
    <col min="11" max="11" width="17.7265625" style="1" bestFit="1" customWidth="1"/>
    <col min="12" max="12" width="14.81640625" style="1" bestFit="1" customWidth="1"/>
    <col min="13" max="13" width="24" style="1" bestFit="1" customWidth="1"/>
    <col min="14" max="14" width="23.1796875" style="1" bestFit="1" customWidth="1"/>
    <col min="15" max="15" width="35.81640625" style="1" bestFit="1" customWidth="1"/>
    <col min="16" max="16" width="15.26953125" style="4" bestFit="1" customWidth="1"/>
    <col min="17" max="17" width="27.36328125" style="11" bestFit="1" customWidth="1"/>
    <col min="18" max="19" width="27.453125" style="11" bestFit="1" customWidth="1"/>
    <col min="20" max="16384" width="9.1796875" style="5"/>
  </cols>
  <sheetData>
    <row r="1" spans="1:20" ht="54" customHeight="1" x14ac:dyDescent="0.3">
      <c r="A1" s="13" t="s">
        <v>0</v>
      </c>
      <c r="B1" s="13" t="s">
        <v>13</v>
      </c>
      <c r="C1" s="14" t="s">
        <v>1</v>
      </c>
      <c r="D1" s="13" t="s">
        <v>2</v>
      </c>
      <c r="E1" s="13" t="s">
        <v>3</v>
      </c>
      <c r="F1" s="13" t="s">
        <v>4</v>
      </c>
      <c r="G1" s="13" t="s">
        <v>12</v>
      </c>
      <c r="H1" s="13" t="s">
        <v>5</v>
      </c>
      <c r="I1" s="15" t="s">
        <v>6</v>
      </c>
      <c r="J1" s="13" t="s">
        <v>7</v>
      </c>
      <c r="K1" s="13" t="s">
        <v>14</v>
      </c>
      <c r="L1" s="13" t="s">
        <v>8</v>
      </c>
      <c r="M1" s="13" t="s">
        <v>15</v>
      </c>
      <c r="N1" s="13" t="s">
        <v>9</v>
      </c>
      <c r="O1" s="13" t="s">
        <v>10</v>
      </c>
      <c r="P1" s="16" t="s">
        <v>16</v>
      </c>
      <c r="Q1" s="20" t="s">
        <v>17</v>
      </c>
      <c r="R1" s="20" t="s">
        <v>18</v>
      </c>
      <c r="S1" s="20" t="s">
        <v>19</v>
      </c>
    </row>
    <row r="2" spans="1:20" ht="47.25" customHeight="1" x14ac:dyDescent="0.35">
      <c r="A2" s="9" t="str">
        <f ca="1">"Bank "&amp;RANDBETWEEN(1,3)</f>
        <v>Bank 3</v>
      </c>
      <c r="B2" s="9" t="s">
        <v>104</v>
      </c>
      <c r="C2" s="17" t="s">
        <v>76</v>
      </c>
      <c r="D2" s="9" t="str">
        <f ca="1">"ZLP"&amp;_xlfn.TEXTJOIN("",TRUE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)</f>
        <v>ZLPZ4OSLCGXDL</v>
      </c>
      <c r="E2" s="9" t="str">
        <f ca="1">TEXT(RANDBETWEEN(0,999999999),"000000000")&amp;TEXT(RANDBETWEEN(0,999999),"000000")</f>
        <v>389958095566225</v>
      </c>
      <c r="F2" s="9" t="str">
        <f ca="1">"App ID "&amp;RANDBETWEEN(1,100)</f>
        <v>App ID 26</v>
      </c>
      <c r="G2" s="9" t="s">
        <v>132</v>
      </c>
      <c r="H2" s="9" t="s">
        <v>25</v>
      </c>
      <c r="I2" s="19">
        <v>199000</v>
      </c>
      <c r="J2" s="9" t="str">
        <f ca="1">"transtype"&amp;RANDBETWEEN(1,3)</f>
        <v>transtype3</v>
      </c>
      <c r="K2" s="9" t="s">
        <v>21</v>
      </c>
      <c r="L2" s="9" t="s">
        <v>168</v>
      </c>
      <c r="M2" s="9" t="s">
        <v>167</v>
      </c>
      <c r="N2" s="9" t="str">
        <f>C2</f>
        <v>UserRJE35QG72M</v>
      </c>
      <c r="O2" s="9" t="str">
        <f ca="1">"Thanh toán mua "&amp;CHOOSE(RANDBETWEEN(1,3),"A","B","C")</f>
        <v>Thanh toán mua C</v>
      </c>
      <c r="P2" s="18" t="str">
        <f ca="1">RANDBETWEEN(10000,99999)&amp;" VND"</f>
        <v>19185 VND</v>
      </c>
      <c r="Q2" s="21">
        <v>45676</v>
      </c>
      <c r="R2" s="21">
        <v>45924.711400462962</v>
      </c>
      <c r="S2" s="21">
        <v>45924.711400462962</v>
      </c>
      <c r="T2" s="10"/>
    </row>
    <row r="3" spans="1:20" ht="47.25" customHeight="1" x14ac:dyDescent="0.35">
      <c r="A3" s="9" t="str">
        <f t="shared" ref="A3:A56" ca="1" si="0">"Bank "&amp;RANDBETWEEN(1,3)</f>
        <v>Bank 1</v>
      </c>
      <c r="B3" s="9" t="s">
        <v>104</v>
      </c>
      <c r="C3" s="17" t="s">
        <v>76</v>
      </c>
      <c r="D3" s="9" t="str">
        <f t="shared" ref="D3:D56" ca="1" si="1">"ZLP"&amp;_xlfn.TEXTJOIN("",TRUE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,MID("ABCDEFGHIJKLMNOPQRSTUVWXYZ0123456789",RANDBETWEEN(1,36),1))</f>
        <v>ZLP75H2KWWNQZ</v>
      </c>
      <c r="E3" s="9" t="str">
        <f t="shared" ref="E3:E56" ca="1" si="2">TEXT(RANDBETWEEN(0,999999999),"000000000")&amp;TEXT(RANDBETWEEN(0,999999),"000000")</f>
        <v>280745263288044</v>
      </c>
      <c r="F3" s="9" t="str">
        <f t="shared" ref="F3:F56" ca="1" si="3">"App ID "&amp;RANDBETWEEN(1,100)</f>
        <v>App ID 54</v>
      </c>
      <c r="G3" s="9" t="s">
        <v>132</v>
      </c>
      <c r="H3" s="9" t="s">
        <v>26</v>
      </c>
      <c r="I3" s="19">
        <v>199000</v>
      </c>
      <c r="J3" s="9" t="str">
        <f t="shared" ref="J3:J56" ca="1" si="4">"transtype"&amp;RANDBETWEEN(1,3)</f>
        <v>transtype3</v>
      </c>
      <c r="K3" s="9" t="s">
        <v>11</v>
      </c>
      <c r="L3" s="9" t="s">
        <v>168</v>
      </c>
      <c r="M3" s="9" t="s">
        <v>167</v>
      </c>
      <c r="N3" s="9" t="str">
        <f t="shared" ref="N3:N56" si="5">C3</f>
        <v>UserRJE35QG72M</v>
      </c>
      <c r="O3" s="9" t="str">
        <f t="shared" ref="O3:O56" ca="1" si="6">"Thanh toán mua "&amp;CHOOSE(RANDBETWEEN(1,3),"A","B","C")</f>
        <v>Thanh toán mua A</v>
      </c>
      <c r="P3" s="18" t="str">
        <f t="shared" ref="P3:P56" ca="1" si="7">RANDBETWEEN(10000,99999)&amp;" VND"</f>
        <v>86418 VND</v>
      </c>
      <c r="Q3" s="21">
        <v>46003</v>
      </c>
      <c r="R3" s="21">
        <v>46003.672858796293</v>
      </c>
      <c r="S3" s="21">
        <v>46003.672858796293</v>
      </c>
      <c r="T3" s="10"/>
    </row>
    <row r="4" spans="1:20" ht="14.5" x14ac:dyDescent="0.35">
      <c r="A4" s="9" t="str">
        <f t="shared" ca="1" si="0"/>
        <v>Bank 1</v>
      </c>
      <c r="B4" s="9" t="s">
        <v>104</v>
      </c>
      <c r="C4" s="17" t="s">
        <v>76</v>
      </c>
      <c r="D4" s="9" t="str">
        <f t="shared" ca="1" si="1"/>
        <v>ZLP15N6QGNJ1L</v>
      </c>
      <c r="E4" s="9" t="str">
        <f t="shared" ca="1" si="2"/>
        <v>527105491294756</v>
      </c>
      <c r="F4" s="9" t="str">
        <f t="shared" ca="1" si="3"/>
        <v>App ID 83</v>
      </c>
      <c r="G4" s="9" t="s">
        <v>132</v>
      </c>
      <c r="H4" s="9" t="s">
        <v>27</v>
      </c>
      <c r="I4" s="19">
        <v>199000</v>
      </c>
      <c r="J4" s="9" t="str">
        <f t="shared" ca="1" si="4"/>
        <v>transtype1</v>
      </c>
      <c r="K4" s="9" t="s">
        <v>11</v>
      </c>
      <c r="L4" s="9" t="s">
        <v>168</v>
      </c>
      <c r="M4" s="9" t="s">
        <v>167</v>
      </c>
      <c r="N4" s="9" t="str">
        <f t="shared" si="5"/>
        <v>UserRJE35QG72M</v>
      </c>
      <c r="O4" s="9" t="str">
        <f t="shared" ca="1" si="6"/>
        <v>Thanh toán mua A</v>
      </c>
      <c r="P4" s="18" t="str">
        <f t="shared" ca="1" si="7"/>
        <v>83212 VND</v>
      </c>
      <c r="Q4" s="21">
        <v>46175</v>
      </c>
      <c r="R4" s="21">
        <v>46178.342326388891</v>
      </c>
      <c r="S4" s="21">
        <v>46175.360891203702</v>
      </c>
      <c r="T4" s="4"/>
    </row>
    <row r="5" spans="1:20" ht="14.5" x14ac:dyDescent="0.35">
      <c r="A5" s="9" t="str">
        <f t="shared" ca="1" si="0"/>
        <v>Bank 2</v>
      </c>
      <c r="B5" s="9" t="s">
        <v>104</v>
      </c>
      <c r="C5" s="17" t="s">
        <v>76</v>
      </c>
      <c r="D5" s="9" t="str">
        <f t="shared" ca="1" si="1"/>
        <v>ZLPFR2ILXEDTX</v>
      </c>
      <c r="E5" s="9" t="str">
        <f t="shared" ca="1" si="2"/>
        <v>664480848353345</v>
      </c>
      <c r="F5" s="9" t="str">
        <f t="shared" ca="1" si="3"/>
        <v>App ID 7</v>
      </c>
      <c r="G5" s="9" t="s">
        <v>132</v>
      </c>
      <c r="H5" s="9" t="s">
        <v>28</v>
      </c>
      <c r="I5" s="19">
        <v>1999999</v>
      </c>
      <c r="J5" s="9" t="str">
        <f t="shared" ca="1" si="4"/>
        <v>transtype3</v>
      </c>
      <c r="K5" s="9" t="s">
        <v>11</v>
      </c>
      <c r="L5" s="9" t="s">
        <v>168</v>
      </c>
      <c r="M5" s="9" t="s">
        <v>167</v>
      </c>
      <c r="N5" s="9" t="str">
        <f t="shared" si="5"/>
        <v>UserRJE35QG72M</v>
      </c>
      <c r="O5" s="9" t="str">
        <f t="shared" ca="1" si="6"/>
        <v>Thanh toán mua C</v>
      </c>
      <c r="P5" s="18" t="str">
        <f t="shared" ca="1" si="7"/>
        <v>83091 VND</v>
      </c>
      <c r="Q5" s="21">
        <v>46175</v>
      </c>
      <c r="R5" s="21">
        <v>46178.342326388891</v>
      </c>
      <c r="S5" s="21">
        <v>46175.360891203702</v>
      </c>
      <c r="T5" s="4"/>
    </row>
    <row r="6" spans="1:20" ht="14.5" x14ac:dyDescent="0.35">
      <c r="A6" s="9" t="str">
        <f t="shared" ca="1" si="0"/>
        <v>Bank 1</v>
      </c>
      <c r="B6" s="9" t="s">
        <v>104</v>
      </c>
      <c r="C6" s="17" t="s">
        <v>76</v>
      </c>
      <c r="D6" s="9" t="str">
        <f t="shared" ca="1" si="1"/>
        <v>ZLP064GQ9QUR2</v>
      </c>
      <c r="E6" s="9" t="str">
        <f t="shared" ca="1" si="2"/>
        <v>568860822321450</v>
      </c>
      <c r="F6" s="9" t="str">
        <f t="shared" ca="1" si="3"/>
        <v>App ID 66</v>
      </c>
      <c r="G6" s="9" t="s">
        <v>132</v>
      </c>
      <c r="H6" s="9" t="s">
        <v>29</v>
      </c>
      <c r="I6" s="19">
        <v>500000</v>
      </c>
      <c r="J6" s="9" t="str">
        <f t="shared" ca="1" si="4"/>
        <v>transtype2</v>
      </c>
      <c r="K6" s="9" t="s">
        <v>11</v>
      </c>
      <c r="L6" s="9" t="s">
        <v>168</v>
      </c>
      <c r="M6" s="9" t="s">
        <v>167</v>
      </c>
      <c r="N6" s="9" t="str">
        <f t="shared" si="5"/>
        <v>UserRJE35QG72M</v>
      </c>
      <c r="O6" s="9" t="str">
        <f t="shared" ca="1" si="6"/>
        <v>Thanh toán mua B</v>
      </c>
      <c r="P6" s="18" t="str">
        <f t="shared" ca="1" si="7"/>
        <v>13247 VND</v>
      </c>
      <c r="Q6" s="21">
        <v>46175</v>
      </c>
      <c r="R6" s="21">
        <v>46178.342326388891</v>
      </c>
      <c r="S6" s="21">
        <v>46175.360891203702</v>
      </c>
      <c r="T6" s="4"/>
    </row>
    <row r="7" spans="1:20" ht="14.5" x14ac:dyDescent="0.35">
      <c r="A7" s="9" t="str">
        <f t="shared" ca="1" si="0"/>
        <v>Bank 2</v>
      </c>
      <c r="B7" s="9" t="s">
        <v>104</v>
      </c>
      <c r="C7" s="17" t="s">
        <v>76</v>
      </c>
      <c r="D7" s="9" t="str">
        <f t="shared" ca="1" si="1"/>
        <v>ZLPDMK02QOMDV</v>
      </c>
      <c r="E7" s="9" t="str">
        <f t="shared" ca="1" si="2"/>
        <v>124432866093068</v>
      </c>
      <c r="F7" s="9" t="str">
        <f t="shared" ca="1" si="3"/>
        <v>App ID 13</v>
      </c>
      <c r="G7" s="9" t="s">
        <v>132</v>
      </c>
      <c r="H7" s="9" t="s">
        <v>30</v>
      </c>
      <c r="I7" s="19">
        <v>1500000</v>
      </c>
      <c r="J7" s="9" t="str">
        <f t="shared" ca="1" si="4"/>
        <v>transtype1</v>
      </c>
      <c r="K7" s="9" t="s">
        <v>11</v>
      </c>
      <c r="L7" s="9" t="s">
        <v>168</v>
      </c>
      <c r="M7" s="9" t="s">
        <v>167</v>
      </c>
      <c r="N7" s="9" t="str">
        <f t="shared" si="5"/>
        <v>UserRJE35QG72M</v>
      </c>
      <c r="O7" s="9" t="str">
        <f t="shared" ca="1" si="6"/>
        <v>Thanh toán mua A</v>
      </c>
      <c r="P7" s="18" t="str">
        <f t="shared" ca="1" si="7"/>
        <v>85097 VND</v>
      </c>
      <c r="Q7" s="21">
        <v>46175</v>
      </c>
      <c r="R7" s="21">
        <v>46178.342326388891</v>
      </c>
      <c r="S7" s="21">
        <v>46175.360891203702</v>
      </c>
      <c r="T7" s="4"/>
    </row>
    <row r="8" spans="1:20" ht="14.5" x14ac:dyDescent="0.35">
      <c r="A8" s="9" t="str">
        <f t="shared" ca="1" si="0"/>
        <v>Bank 2</v>
      </c>
      <c r="B8" s="9" t="s">
        <v>105</v>
      </c>
      <c r="C8" s="17" t="s">
        <v>77</v>
      </c>
      <c r="D8" s="9" t="str">
        <f t="shared" ca="1" si="1"/>
        <v>ZLPWHPG00VU8M</v>
      </c>
      <c r="E8" s="9" t="str">
        <f t="shared" ca="1" si="2"/>
        <v>064001879749375</v>
      </c>
      <c r="F8" s="9" t="str">
        <f t="shared" ca="1" si="3"/>
        <v>App ID 72</v>
      </c>
      <c r="G8" s="9" t="s">
        <v>133</v>
      </c>
      <c r="H8" s="9" t="s">
        <v>31</v>
      </c>
      <c r="I8" s="19">
        <v>1500000</v>
      </c>
      <c r="J8" s="9" t="str">
        <f t="shared" ca="1" si="4"/>
        <v>transtype3</v>
      </c>
      <c r="K8" s="9" t="s">
        <v>11</v>
      </c>
      <c r="L8" s="9" t="s">
        <v>168</v>
      </c>
      <c r="M8" s="9" t="s">
        <v>167</v>
      </c>
      <c r="N8" s="9" t="str">
        <f t="shared" si="5"/>
        <v>UserTX8PGNQFOD</v>
      </c>
      <c r="O8" s="9" t="str">
        <f t="shared" ca="1" si="6"/>
        <v>Thanh toán mua A</v>
      </c>
      <c r="P8" s="18" t="str">
        <f t="shared" ca="1" si="7"/>
        <v>72161 VND</v>
      </c>
      <c r="Q8" s="21">
        <v>46175</v>
      </c>
      <c r="R8" s="21">
        <v>46178.342326388891</v>
      </c>
      <c r="S8" s="21">
        <v>46175.360891203702</v>
      </c>
      <c r="T8" s="4"/>
    </row>
    <row r="9" spans="1:20" ht="14.5" x14ac:dyDescent="0.35">
      <c r="A9" s="9" t="str">
        <f t="shared" ca="1" si="0"/>
        <v>Bank 2</v>
      </c>
      <c r="B9" s="9" t="s">
        <v>105</v>
      </c>
      <c r="C9" s="17" t="s">
        <v>77</v>
      </c>
      <c r="D9" s="9" t="str">
        <f t="shared" ca="1" si="1"/>
        <v>ZLPHTBVOPNLJ0</v>
      </c>
      <c r="E9" s="9" t="str">
        <f t="shared" ca="1" si="2"/>
        <v>956036669608409</v>
      </c>
      <c r="F9" s="9" t="str">
        <f t="shared" ca="1" si="3"/>
        <v>App ID 55</v>
      </c>
      <c r="G9" s="9" t="s">
        <v>134</v>
      </c>
      <c r="H9" s="9" t="s">
        <v>32</v>
      </c>
      <c r="I9" s="19">
        <v>1500000</v>
      </c>
      <c r="J9" s="9" t="str">
        <f t="shared" ca="1" si="4"/>
        <v>transtype2</v>
      </c>
      <c r="K9" s="9" t="s">
        <v>11</v>
      </c>
      <c r="L9" s="9" t="s">
        <v>168</v>
      </c>
      <c r="M9" s="9" t="s">
        <v>167</v>
      </c>
      <c r="N9" s="9" t="str">
        <f t="shared" si="5"/>
        <v>UserTX8PGNQFOD</v>
      </c>
      <c r="O9" s="9" t="str">
        <f t="shared" ca="1" si="6"/>
        <v>Thanh toán mua B</v>
      </c>
      <c r="P9" s="18" t="str">
        <f t="shared" ca="1" si="7"/>
        <v>74803 VND</v>
      </c>
      <c r="Q9" s="21">
        <v>46160</v>
      </c>
      <c r="R9" s="21">
        <v>46160.497349537036</v>
      </c>
      <c r="S9" s="21">
        <v>46160.497349537036</v>
      </c>
      <c r="T9" s="4"/>
    </row>
    <row r="10" spans="1:20" ht="14.5" x14ac:dyDescent="0.35">
      <c r="A10" s="9" t="str">
        <f t="shared" ca="1" si="0"/>
        <v>Bank 1</v>
      </c>
      <c r="B10" s="9" t="s">
        <v>105</v>
      </c>
      <c r="C10" s="17" t="s">
        <v>77</v>
      </c>
      <c r="D10" s="9" t="str">
        <f t="shared" ca="1" si="1"/>
        <v>ZLPB0S5P9ZL33</v>
      </c>
      <c r="E10" s="9" t="str">
        <f t="shared" ca="1" si="2"/>
        <v>417418451992566</v>
      </c>
      <c r="F10" s="9" t="str">
        <f t="shared" ca="1" si="3"/>
        <v>App ID 52</v>
      </c>
      <c r="G10" s="9" t="s">
        <v>135</v>
      </c>
      <c r="H10" s="9" t="s">
        <v>33</v>
      </c>
      <c r="I10" s="19">
        <v>1500000</v>
      </c>
      <c r="J10" s="9" t="str">
        <f t="shared" ca="1" si="4"/>
        <v>transtype2</v>
      </c>
      <c r="K10" s="9" t="s">
        <v>11</v>
      </c>
      <c r="L10" s="9" t="s">
        <v>168</v>
      </c>
      <c r="M10" s="9" t="s">
        <v>167</v>
      </c>
      <c r="N10" s="9" t="str">
        <f t="shared" si="5"/>
        <v>UserTX8PGNQFOD</v>
      </c>
      <c r="O10" s="9" t="str">
        <f t="shared" ca="1" si="6"/>
        <v>Thanh toán mua B</v>
      </c>
      <c r="P10" s="18" t="str">
        <f t="shared" ca="1" si="7"/>
        <v>75880 VND</v>
      </c>
      <c r="Q10" s="21">
        <v>46160</v>
      </c>
      <c r="R10" s="21">
        <v>46160.497349537036</v>
      </c>
      <c r="S10" s="21">
        <v>46160.497349537036</v>
      </c>
      <c r="T10" s="4"/>
    </row>
    <row r="11" spans="1:20" ht="14.5" x14ac:dyDescent="0.35">
      <c r="A11" s="9" t="str">
        <f t="shared" ca="1" si="0"/>
        <v>Bank 2</v>
      </c>
      <c r="B11" s="9" t="s">
        <v>105</v>
      </c>
      <c r="C11" s="17" t="s">
        <v>77</v>
      </c>
      <c r="D11" s="9" t="str">
        <f t="shared" ca="1" si="1"/>
        <v>ZLPTGEEHJGPVV</v>
      </c>
      <c r="E11" s="9" t="str">
        <f t="shared" ca="1" si="2"/>
        <v>250492409182846</v>
      </c>
      <c r="F11" s="9" t="str">
        <f t="shared" ca="1" si="3"/>
        <v>App ID 31</v>
      </c>
      <c r="G11" s="9" t="s">
        <v>136</v>
      </c>
      <c r="H11" s="9" t="s">
        <v>34</v>
      </c>
      <c r="I11" s="19">
        <v>500000</v>
      </c>
      <c r="J11" s="9" t="str">
        <f t="shared" ca="1" si="4"/>
        <v>transtype1</v>
      </c>
      <c r="K11" s="9" t="s">
        <v>11</v>
      </c>
      <c r="L11" s="9" t="s">
        <v>168</v>
      </c>
      <c r="M11" s="9" t="s">
        <v>167</v>
      </c>
      <c r="N11" s="9" t="str">
        <f t="shared" si="5"/>
        <v>UserTX8PGNQFOD</v>
      </c>
      <c r="O11" s="9" t="str">
        <f t="shared" ca="1" si="6"/>
        <v>Thanh toán mua A</v>
      </c>
      <c r="P11" s="18" t="str">
        <f t="shared" ca="1" si="7"/>
        <v>77449 VND</v>
      </c>
      <c r="Q11" s="21">
        <v>46160</v>
      </c>
      <c r="R11" s="21">
        <v>46160.497349537036</v>
      </c>
      <c r="S11" s="21">
        <v>46160.497349537036</v>
      </c>
      <c r="T11" s="4"/>
    </row>
    <row r="12" spans="1:20" ht="14.5" x14ac:dyDescent="0.35">
      <c r="A12" s="9" t="str">
        <f t="shared" ca="1" si="0"/>
        <v>Bank 2</v>
      </c>
      <c r="B12" s="9" t="s">
        <v>105</v>
      </c>
      <c r="C12" s="17" t="s">
        <v>77</v>
      </c>
      <c r="D12" s="9" t="str">
        <f t="shared" ca="1" si="1"/>
        <v>ZLPA3O8AGRGF7</v>
      </c>
      <c r="E12" s="9" t="str">
        <f t="shared" ca="1" si="2"/>
        <v>085421023163655</v>
      </c>
      <c r="F12" s="9" t="str">
        <f t="shared" ca="1" si="3"/>
        <v>App ID 83</v>
      </c>
      <c r="G12" s="9" t="s">
        <v>137</v>
      </c>
      <c r="H12" s="9" t="s">
        <v>35</v>
      </c>
      <c r="I12" s="19">
        <v>1500000</v>
      </c>
      <c r="J12" s="9" t="str">
        <f t="shared" ca="1" si="4"/>
        <v>transtype3</v>
      </c>
      <c r="K12" s="9" t="s">
        <v>11</v>
      </c>
      <c r="L12" s="9" t="s">
        <v>168</v>
      </c>
      <c r="M12" s="9" t="s">
        <v>167</v>
      </c>
      <c r="N12" s="9" t="str">
        <f t="shared" si="5"/>
        <v>UserTX8PGNQFOD</v>
      </c>
      <c r="O12" s="9" t="str">
        <f t="shared" ca="1" si="6"/>
        <v>Thanh toán mua C</v>
      </c>
      <c r="P12" s="18" t="str">
        <f t="shared" ca="1" si="7"/>
        <v>91492 VND</v>
      </c>
      <c r="Q12" s="21">
        <v>46160</v>
      </c>
      <c r="R12" s="21">
        <v>46160.497349537036</v>
      </c>
      <c r="S12" s="21">
        <v>46160.497349537036</v>
      </c>
      <c r="T12" s="4"/>
    </row>
    <row r="13" spans="1:20" ht="14.5" x14ac:dyDescent="0.35">
      <c r="A13" s="9" t="str">
        <f t="shared" ca="1" si="0"/>
        <v>Bank 3</v>
      </c>
      <c r="B13" s="9" t="s">
        <v>105</v>
      </c>
      <c r="C13" s="17" t="s">
        <v>77</v>
      </c>
      <c r="D13" s="9" t="str">
        <f t="shared" ca="1" si="1"/>
        <v>ZLPOUSHYPY54H</v>
      </c>
      <c r="E13" s="9" t="str">
        <f t="shared" ca="1" si="2"/>
        <v>676973976151934</v>
      </c>
      <c r="F13" s="9" t="str">
        <f t="shared" ca="1" si="3"/>
        <v>App ID 57</v>
      </c>
      <c r="G13" s="9" t="s">
        <v>138</v>
      </c>
      <c r="H13" s="9" t="s">
        <v>36</v>
      </c>
      <c r="I13" s="19">
        <v>1500000</v>
      </c>
      <c r="J13" s="9" t="str">
        <f t="shared" ca="1" si="4"/>
        <v>transtype2</v>
      </c>
      <c r="K13" s="9" t="s">
        <v>11</v>
      </c>
      <c r="L13" s="9" t="s">
        <v>168</v>
      </c>
      <c r="M13" s="9" t="s">
        <v>167</v>
      </c>
      <c r="N13" s="9" t="str">
        <f t="shared" si="5"/>
        <v>UserTX8PGNQFOD</v>
      </c>
      <c r="O13" s="9" t="str">
        <f t="shared" ca="1" si="6"/>
        <v>Thanh toán mua A</v>
      </c>
      <c r="P13" s="18" t="str">
        <f t="shared" ca="1" si="7"/>
        <v>45633 VND</v>
      </c>
      <c r="Q13" s="21">
        <v>46160</v>
      </c>
      <c r="R13" s="21">
        <v>46160.497349537036</v>
      </c>
      <c r="S13" s="21">
        <v>46160.497349537036</v>
      </c>
      <c r="T13" s="4"/>
    </row>
    <row r="14" spans="1:20" ht="14.5" x14ac:dyDescent="0.35">
      <c r="A14" s="9" t="str">
        <f t="shared" ca="1" si="0"/>
        <v>Bank 2</v>
      </c>
      <c r="B14" s="9" t="s">
        <v>105</v>
      </c>
      <c r="C14" s="17" t="s">
        <v>77</v>
      </c>
      <c r="D14" s="9" t="str">
        <f t="shared" ca="1" si="1"/>
        <v>ZLPTZ6TFC14E1</v>
      </c>
      <c r="E14" s="9" t="str">
        <f t="shared" ca="1" si="2"/>
        <v>624392828805518</v>
      </c>
      <c r="F14" s="9" t="str">
        <f t="shared" ca="1" si="3"/>
        <v>App ID 49</v>
      </c>
      <c r="G14" s="9" t="s">
        <v>139</v>
      </c>
      <c r="H14" s="9" t="s">
        <v>37</v>
      </c>
      <c r="I14" s="19">
        <v>500000</v>
      </c>
      <c r="J14" s="9" t="str">
        <f t="shared" ca="1" si="4"/>
        <v>transtype3</v>
      </c>
      <c r="K14" s="9" t="s">
        <v>11</v>
      </c>
      <c r="L14" s="9" t="s">
        <v>168</v>
      </c>
      <c r="M14" s="9" t="s">
        <v>167</v>
      </c>
      <c r="N14" s="9" t="str">
        <f t="shared" si="5"/>
        <v>UserTX8PGNQFOD</v>
      </c>
      <c r="O14" s="9" t="str">
        <f t="shared" ca="1" si="6"/>
        <v>Thanh toán mua A</v>
      </c>
      <c r="P14" s="18" t="str">
        <f t="shared" ca="1" si="7"/>
        <v>75685 VND</v>
      </c>
      <c r="Q14" s="21">
        <v>46160</v>
      </c>
      <c r="R14" s="21">
        <v>46160.497349537036</v>
      </c>
      <c r="S14" s="21">
        <v>46160.497349537036</v>
      </c>
      <c r="T14" s="4"/>
    </row>
    <row r="15" spans="1:20" ht="14.5" x14ac:dyDescent="0.35">
      <c r="A15" s="9" t="str">
        <f t="shared" ca="1" si="0"/>
        <v>Bank 2</v>
      </c>
      <c r="B15" s="9" t="s">
        <v>105</v>
      </c>
      <c r="C15" s="17" t="s">
        <v>77</v>
      </c>
      <c r="D15" s="9" t="str">
        <f t="shared" ca="1" si="1"/>
        <v>ZLPRJVBS37H3O</v>
      </c>
      <c r="E15" s="9" t="str">
        <f t="shared" ca="1" si="2"/>
        <v>593302125634596</v>
      </c>
      <c r="F15" s="9" t="str">
        <f t="shared" ca="1" si="3"/>
        <v>App ID 27</v>
      </c>
      <c r="G15" s="9" t="s">
        <v>140</v>
      </c>
      <c r="H15" s="9" t="s">
        <v>38</v>
      </c>
      <c r="I15" s="19">
        <v>1500000</v>
      </c>
      <c r="J15" s="9" t="str">
        <f t="shared" ca="1" si="4"/>
        <v>transtype3</v>
      </c>
      <c r="K15" s="9" t="s">
        <v>11</v>
      </c>
      <c r="L15" s="9" t="s">
        <v>168</v>
      </c>
      <c r="M15" s="9" t="s">
        <v>167</v>
      </c>
      <c r="N15" s="9" t="str">
        <f t="shared" si="5"/>
        <v>UserTX8PGNQFOD</v>
      </c>
      <c r="O15" s="9" t="str">
        <f t="shared" ca="1" si="6"/>
        <v>Thanh toán mua A</v>
      </c>
      <c r="P15" s="18" t="str">
        <f t="shared" ca="1" si="7"/>
        <v>97875 VND</v>
      </c>
      <c r="Q15" s="21">
        <v>46160</v>
      </c>
      <c r="R15" s="21">
        <v>46160.497349537036</v>
      </c>
      <c r="S15" s="21">
        <v>46160.497349537036</v>
      </c>
      <c r="T15" s="4"/>
    </row>
    <row r="16" spans="1:20" ht="14.5" x14ac:dyDescent="0.35">
      <c r="A16" s="9" t="str">
        <f t="shared" ca="1" si="0"/>
        <v>Bank 2</v>
      </c>
      <c r="B16" s="9" t="s">
        <v>106</v>
      </c>
      <c r="C16" s="17" t="s">
        <v>78</v>
      </c>
      <c r="D16" s="9" t="str">
        <f t="shared" ca="1" si="1"/>
        <v>ZLPPEE8MP4UT1</v>
      </c>
      <c r="E16" s="9" t="str">
        <f t="shared" ca="1" si="2"/>
        <v>127058360917388</v>
      </c>
      <c r="F16" s="9" t="str">
        <f t="shared" ca="1" si="3"/>
        <v>App ID 95</v>
      </c>
      <c r="G16" s="9" t="s">
        <v>141</v>
      </c>
      <c r="H16" s="9" t="s">
        <v>39</v>
      </c>
      <c r="I16" s="19">
        <v>1500000</v>
      </c>
      <c r="J16" s="9" t="str">
        <f t="shared" ca="1" si="4"/>
        <v>transtype2</v>
      </c>
      <c r="K16" s="9" t="s">
        <v>11</v>
      </c>
      <c r="L16" s="9" t="s">
        <v>168</v>
      </c>
      <c r="M16" s="9" t="s">
        <v>167</v>
      </c>
      <c r="N16" s="9" t="str">
        <f t="shared" si="5"/>
        <v>UserKW4WN5O0B5</v>
      </c>
      <c r="O16" s="9" t="str">
        <f t="shared" ca="1" si="6"/>
        <v>Thanh toán mua A</v>
      </c>
      <c r="P16" s="18" t="str">
        <f t="shared" ca="1" si="7"/>
        <v>56750 VND</v>
      </c>
      <c r="Q16" s="21">
        <v>43204</v>
      </c>
      <c r="R16" s="21">
        <v>44519.957037037035</v>
      </c>
      <c r="S16" s="21">
        <v>44519.957037037035</v>
      </c>
      <c r="T16" s="4"/>
    </row>
    <row r="17" spans="1:20" ht="14.5" x14ac:dyDescent="0.35">
      <c r="A17" s="9" t="str">
        <f t="shared" ca="1" si="0"/>
        <v>Bank 1</v>
      </c>
      <c r="B17" s="9" t="s">
        <v>107</v>
      </c>
      <c r="C17" s="17" t="s">
        <v>79</v>
      </c>
      <c r="D17" s="9" t="str">
        <f t="shared" ca="1" si="1"/>
        <v>ZLPIE2OSONUHL</v>
      </c>
      <c r="E17" s="9" t="str">
        <f t="shared" ca="1" si="2"/>
        <v>198970989330191</v>
      </c>
      <c r="F17" s="9" t="str">
        <f t="shared" ca="1" si="3"/>
        <v>App ID 83</v>
      </c>
      <c r="G17" s="9" t="s">
        <v>142</v>
      </c>
      <c r="H17" s="9" t="s">
        <v>40</v>
      </c>
      <c r="I17" s="19">
        <v>1500000</v>
      </c>
      <c r="J17" s="9" t="str">
        <f t="shared" ca="1" si="4"/>
        <v>transtype2</v>
      </c>
      <c r="K17" s="9" t="s">
        <v>11</v>
      </c>
      <c r="L17" s="9" t="s">
        <v>168</v>
      </c>
      <c r="M17" s="9" t="s">
        <v>167</v>
      </c>
      <c r="N17" s="9" t="str">
        <f t="shared" si="5"/>
        <v>User63DNGCE75B</v>
      </c>
      <c r="O17" s="9" t="str">
        <f t="shared" ca="1" si="6"/>
        <v>Thanh toán mua C</v>
      </c>
      <c r="P17" s="18" t="str">
        <f t="shared" ca="1" si="7"/>
        <v>35002 VND</v>
      </c>
      <c r="Q17" s="21">
        <v>43204</v>
      </c>
      <c r="R17" s="21">
        <v>44519.957037037035</v>
      </c>
      <c r="S17" s="21">
        <v>44519.957037037035</v>
      </c>
      <c r="T17" s="4"/>
    </row>
    <row r="18" spans="1:20" ht="14.5" x14ac:dyDescent="0.35">
      <c r="A18" s="9" t="str">
        <f t="shared" ca="1" si="0"/>
        <v>Bank 1</v>
      </c>
      <c r="B18" s="9" t="s">
        <v>108</v>
      </c>
      <c r="C18" s="17" t="s">
        <v>80</v>
      </c>
      <c r="D18" s="9" t="str">
        <f t="shared" ca="1" si="1"/>
        <v>ZLPFIH7ZS9W3V</v>
      </c>
      <c r="E18" s="9" t="str">
        <f t="shared" ca="1" si="2"/>
        <v>573384309720440</v>
      </c>
      <c r="F18" s="9" t="str">
        <f t="shared" ca="1" si="3"/>
        <v>App ID 42</v>
      </c>
      <c r="G18" s="9" t="s">
        <v>143</v>
      </c>
      <c r="H18" s="9" t="s">
        <v>41</v>
      </c>
      <c r="I18" s="19">
        <v>2000000</v>
      </c>
      <c r="J18" s="9" t="str">
        <f t="shared" ca="1" si="4"/>
        <v>transtype1</v>
      </c>
      <c r="K18" s="9" t="s">
        <v>11</v>
      </c>
      <c r="L18" s="9" t="s">
        <v>168</v>
      </c>
      <c r="M18" s="9" t="s">
        <v>167</v>
      </c>
      <c r="N18" s="9" t="str">
        <f t="shared" si="5"/>
        <v>UserHXDRGBBJHU</v>
      </c>
      <c r="O18" s="9" t="str">
        <f t="shared" ca="1" si="6"/>
        <v>Thanh toán mua C</v>
      </c>
      <c r="P18" s="18" t="str">
        <f t="shared" ca="1" si="7"/>
        <v>83335 VND</v>
      </c>
      <c r="Q18" s="21">
        <v>43204</v>
      </c>
      <c r="R18" s="21">
        <v>44519.957037037035</v>
      </c>
      <c r="S18" s="21">
        <v>44519.957037037035</v>
      </c>
      <c r="T18" s="4"/>
    </row>
    <row r="19" spans="1:20" ht="14.5" x14ac:dyDescent="0.35">
      <c r="A19" s="9" t="str">
        <f t="shared" ca="1" si="0"/>
        <v>Bank 3</v>
      </c>
      <c r="B19" s="9" t="s">
        <v>109</v>
      </c>
      <c r="C19" s="17" t="s">
        <v>81</v>
      </c>
      <c r="D19" s="9" t="str">
        <f t="shared" ca="1" si="1"/>
        <v>ZLP3CW6A2VQEB</v>
      </c>
      <c r="E19" s="9" t="str">
        <f t="shared" ca="1" si="2"/>
        <v>386231857364490</v>
      </c>
      <c r="F19" s="9" t="str">
        <f t="shared" ca="1" si="3"/>
        <v>App ID 74</v>
      </c>
      <c r="G19" s="9" t="s">
        <v>144</v>
      </c>
      <c r="H19" s="9" t="s">
        <v>42</v>
      </c>
      <c r="I19" s="19">
        <v>2000000</v>
      </c>
      <c r="J19" s="9" t="str">
        <f t="shared" ca="1" si="4"/>
        <v>transtype3</v>
      </c>
      <c r="K19" s="9" t="s">
        <v>11</v>
      </c>
      <c r="L19" s="9" t="s">
        <v>168</v>
      </c>
      <c r="M19" s="9" t="s">
        <v>167</v>
      </c>
      <c r="N19" s="9" t="str">
        <f t="shared" si="5"/>
        <v>UserLFJCZPEWF9</v>
      </c>
      <c r="O19" s="9" t="str">
        <f t="shared" ca="1" si="6"/>
        <v>Thanh toán mua B</v>
      </c>
      <c r="P19" s="18" t="str">
        <f t="shared" ca="1" si="7"/>
        <v>12454 VND</v>
      </c>
      <c r="Q19" s="21">
        <v>45973</v>
      </c>
      <c r="R19" s="21">
        <v>46056.452627314815</v>
      </c>
      <c r="S19" s="21">
        <v>46056.452627314815</v>
      </c>
      <c r="T19" s="4"/>
    </row>
    <row r="20" spans="1:20" ht="14.5" x14ac:dyDescent="0.35">
      <c r="A20" s="9" t="str">
        <f t="shared" ca="1" si="0"/>
        <v>Bank 2</v>
      </c>
      <c r="B20" s="9" t="s">
        <v>110</v>
      </c>
      <c r="C20" s="17" t="s">
        <v>82</v>
      </c>
      <c r="D20" s="9" t="str">
        <f t="shared" ca="1" si="1"/>
        <v>ZLPEVN551HOGL</v>
      </c>
      <c r="E20" s="9" t="str">
        <f t="shared" ca="1" si="2"/>
        <v>847761776995100</v>
      </c>
      <c r="F20" s="9" t="str">
        <f t="shared" ca="1" si="3"/>
        <v>App ID 85</v>
      </c>
      <c r="G20" s="9" t="s">
        <v>145</v>
      </c>
      <c r="H20" s="9" t="s">
        <v>43</v>
      </c>
      <c r="I20" s="19">
        <v>29000</v>
      </c>
      <c r="J20" s="9" t="str">
        <f t="shared" ca="1" si="4"/>
        <v>transtype1</v>
      </c>
      <c r="K20" s="9" t="s">
        <v>11</v>
      </c>
      <c r="L20" s="9" t="s">
        <v>168</v>
      </c>
      <c r="M20" s="9" t="s">
        <v>167</v>
      </c>
      <c r="N20" s="9" t="str">
        <f t="shared" si="5"/>
        <v>UserAEQ59UAXQ5</v>
      </c>
      <c r="O20" s="9" t="str">
        <f t="shared" ca="1" si="6"/>
        <v>Thanh toán mua B</v>
      </c>
      <c r="P20" s="18" t="str">
        <f t="shared" ca="1" si="7"/>
        <v>15597 VND</v>
      </c>
      <c r="Q20" s="21">
        <v>43856</v>
      </c>
      <c r="R20" s="21">
        <v>45141.403622685182</v>
      </c>
      <c r="S20" s="21">
        <v>45141.403622685182</v>
      </c>
      <c r="T20" s="4"/>
    </row>
    <row r="21" spans="1:20" ht="14.5" x14ac:dyDescent="0.35">
      <c r="A21" s="9" t="str">
        <f t="shared" ca="1" si="0"/>
        <v>Bank 2</v>
      </c>
      <c r="B21" s="9" t="s">
        <v>110</v>
      </c>
      <c r="C21" s="17" t="s">
        <v>82</v>
      </c>
      <c r="D21" s="9" t="str">
        <f t="shared" ca="1" si="1"/>
        <v>ZLP6CXAKQXE7A</v>
      </c>
      <c r="E21" s="9" t="str">
        <f t="shared" ca="1" si="2"/>
        <v>687757239375945</v>
      </c>
      <c r="F21" s="9" t="str">
        <f t="shared" ca="1" si="3"/>
        <v>App ID 80</v>
      </c>
      <c r="G21" s="9" t="s">
        <v>145</v>
      </c>
      <c r="H21" s="9" t="s">
        <v>44</v>
      </c>
      <c r="I21" s="19">
        <v>519000</v>
      </c>
      <c r="J21" s="9" t="str">
        <f t="shared" ca="1" si="4"/>
        <v>transtype2</v>
      </c>
      <c r="K21" s="9" t="s">
        <v>11</v>
      </c>
      <c r="L21" s="9" t="s">
        <v>168</v>
      </c>
      <c r="M21" s="9" t="s">
        <v>167</v>
      </c>
      <c r="N21" s="9" t="str">
        <f t="shared" si="5"/>
        <v>UserAEQ59UAXQ5</v>
      </c>
      <c r="O21" s="9" t="str">
        <f t="shared" ca="1" si="6"/>
        <v>Thanh toán mua C</v>
      </c>
      <c r="P21" s="18" t="str">
        <f t="shared" ca="1" si="7"/>
        <v>76126 VND</v>
      </c>
      <c r="Q21" s="21">
        <v>43856</v>
      </c>
      <c r="R21" s="21">
        <v>45141.403622685182</v>
      </c>
      <c r="S21" s="21">
        <v>45141.403622685182</v>
      </c>
      <c r="T21" s="4"/>
    </row>
    <row r="22" spans="1:20" ht="14.5" x14ac:dyDescent="0.35">
      <c r="A22" s="9" t="str">
        <f t="shared" ca="1" si="0"/>
        <v>Bank 1</v>
      </c>
      <c r="B22" s="9" t="s">
        <v>110</v>
      </c>
      <c r="C22" s="17" t="s">
        <v>82</v>
      </c>
      <c r="D22" s="9" t="str">
        <f t="shared" ca="1" si="1"/>
        <v>ZLPAVJ6NB0EF7</v>
      </c>
      <c r="E22" s="9" t="str">
        <f t="shared" ca="1" si="2"/>
        <v>687183533588196</v>
      </c>
      <c r="F22" s="9" t="str">
        <f t="shared" ca="1" si="3"/>
        <v>App ID 6</v>
      </c>
      <c r="G22" s="9" t="s">
        <v>145</v>
      </c>
      <c r="H22" s="9" t="s">
        <v>45</v>
      </c>
      <c r="I22" s="19">
        <v>1999999</v>
      </c>
      <c r="J22" s="9" t="str">
        <f t="shared" ca="1" si="4"/>
        <v>transtype2</v>
      </c>
      <c r="K22" s="9" t="s">
        <v>11</v>
      </c>
      <c r="L22" s="9" t="s">
        <v>168</v>
      </c>
      <c r="M22" s="9" t="s">
        <v>167</v>
      </c>
      <c r="N22" s="9" t="str">
        <f t="shared" si="5"/>
        <v>UserAEQ59UAXQ5</v>
      </c>
      <c r="O22" s="9" t="str">
        <f t="shared" ca="1" si="6"/>
        <v>Thanh toán mua C</v>
      </c>
      <c r="P22" s="18" t="str">
        <f t="shared" ca="1" si="7"/>
        <v>47784 VND</v>
      </c>
      <c r="Q22" s="21">
        <v>43856</v>
      </c>
      <c r="R22" s="21">
        <v>45141.403622685182</v>
      </c>
      <c r="S22" s="21">
        <v>45141.403622685182</v>
      </c>
      <c r="T22" s="4"/>
    </row>
    <row r="23" spans="1:20" ht="14.5" x14ac:dyDescent="0.35">
      <c r="A23" s="9" t="str">
        <f t="shared" ca="1" si="0"/>
        <v>Bank 1</v>
      </c>
      <c r="B23" s="9" t="s">
        <v>111</v>
      </c>
      <c r="C23" s="17" t="s">
        <v>83</v>
      </c>
      <c r="D23" s="9" t="str">
        <f t="shared" ca="1" si="1"/>
        <v>ZLP3UEJSDQHK6</v>
      </c>
      <c r="E23" s="9" t="str">
        <f t="shared" ca="1" si="2"/>
        <v>421658810528688</v>
      </c>
      <c r="F23" s="9" t="str">
        <f t="shared" ca="1" si="3"/>
        <v>App ID 65</v>
      </c>
      <c r="G23" s="9" t="s">
        <v>146</v>
      </c>
      <c r="H23" s="9" t="s">
        <v>46</v>
      </c>
      <c r="I23" s="19">
        <v>1999999</v>
      </c>
      <c r="J23" s="9" t="str">
        <f t="shared" ca="1" si="4"/>
        <v>transtype2</v>
      </c>
      <c r="K23" s="9" t="s">
        <v>11</v>
      </c>
      <c r="L23" s="9" t="s">
        <v>168</v>
      </c>
      <c r="M23" s="9" t="s">
        <v>167</v>
      </c>
      <c r="N23" s="9" t="str">
        <f t="shared" si="5"/>
        <v>UserA8Y80IFOVC</v>
      </c>
      <c r="O23" s="9" t="str">
        <f t="shared" ca="1" si="6"/>
        <v>Thanh toán mua A</v>
      </c>
      <c r="P23" s="18" t="str">
        <f t="shared" ca="1" si="7"/>
        <v>60877 VND</v>
      </c>
      <c r="Q23" s="21">
        <v>45676</v>
      </c>
      <c r="R23" s="21">
        <v>45924.711400462962</v>
      </c>
      <c r="S23" s="21">
        <v>45924.711400462962</v>
      </c>
      <c r="T23" s="4"/>
    </row>
    <row r="24" spans="1:20" ht="14.5" x14ac:dyDescent="0.35">
      <c r="A24" s="9" t="str">
        <f t="shared" ca="1" si="0"/>
        <v>Bank 3</v>
      </c>
      <c r="B24" s="9" t="s">
        <v>112</v>
      </c>
      <c r="C24" s="17" t="s">
        <v>84</v>
      </c>
      <c r="D24" s="9" t="str">
        <f t="shared" ca="1" si="1"/>
        <v>ZLPTR63XM8ST1</v>
      </c>
      <c r="E24" s="9" t="str">
        <f t="shared" ca="1" si="2"/>
        <v>809136301434572</v>
      </c>
      <c r="F24" s="9" t="str">
        <f t="shared" ca="1" si="3"/>
        <v>App ID 17</v>
      </c>
      <c r="G24" s="9" t="s">
        <v>147</v>
      </c>
      <c r="H24" s="9" t="s">
        <v>47</v>
      </c>
      <c r="I24" s="19">
        <v>1999999</v>
      </c>
      <c r="J24" s="9" t="str">
        <f t="shared" ca="1" si="4"/>
        <v>transtype1</v>
      </c>
      <c r="K24" s="9" t="s">
        <v>11</v>
      </c>
      <c r="L24" s="9" t="s">
        <v>168</v>
      </c>
      <c r="M24" s="9" t="s">
        <v>167</v>
      </c>
      <c r="N24" s="9" t="str">
        <f t="shared" si="5"/>
        <v>UserDKWZ600G4K</v>
      </c>
      <c r="O24" s="9" t="str">
        <f t="shared" ca="1" si="6"/>
        <v>Thanh toán mua B</v>
      </c>
      <c r="P24" s="18" t="str">
        <f t="shared" ca="1" si="7"/>
        <v>60089 VND</v>
      </c>
      <c r="Q24" s="21">
        <v>46003</v>
      </c>
      <c r="R24" s="21">
        <v>46003.672858796293</v>
      </c>
      <c r="S24" s="21">
        <v>46003.672858796293</v>
      </c>
      <c r="T24" s="4"/>
    </row>
    <row r="25" spans="1:20" ht="14.5" x14ac:dyDescent="0.35">
      <c r="A25" s="9" t="str">
        <f t="shared" ca="1" si="0"/>
        <v>Bank 3</v>
      </c>
      <c r="B25" s="9" t="s">
        <v>113</v>
      </c>
      <c r="C25" s="17" t="s">
        <v>85</v>
      </c>
      <c r="D25" s="9" t="str">
        <f t="shared" ca="1" si="1"/>
        <v>ZLP4J921A7I5Q</v>
      </c>
      <c r="E25" s="9" t="str">
        <f t="shared" ca="1" si="2"/>
        <v>147322477022342</v>
      </c>
      <c r="F25" s="9" t="str">
        <f t="shared" ca="1" si="3"/>
        <v>App ID 32</v>
      </c>
      <c r="G25" s="9" t="s">
        <v>148</v>
      </c>
      <c r="H25" s="9" t="s">
        <v>48</v>
      </c>
      <c r="I25" s="19">
        <v>1000000</v>
      </c>
      <c r="J25" s="9" t="str">
        <f t="shared" ca="1" si="4"/>
        <v>transtype2</v>
      </c>
      <c r="K25" s="9" t="s">
        <v>11</v>
      </c>
      <c r="L25" s="9" t="s">
        <v>168</v>
      </c>
      <c r="M25" s="9" t="s">
        <v>167</v>
      </c>
      <c r="N25" s="9" t="str">
        <f t="shared" si="5"/>
        <v>UserOTC6G7HQLG</v>
      </c>
      <c r="O25" s="9" t="str">
        <f t="shared" ca="1" si="6"/>
        <v>Thanh toán mua B</v>
      </c>
      <c r="P25" s="18" t="str">
        <f t="shared" ca="1" si="7"/>
        <v>38432 VND</v>
      </c>
      <c r="Q25" s="21">
        <v>46175</v>
      </c>
      <c r="R25" s="21">
        <v>46178.342326388891</v>
      </c>
      <c r="S25" s="21">
        <v>46175.360891203702</v>
      </c>
      <c r="T25" s="4"/>
    </row>
    <row r="26" spans="1:20" ht="14.5" x14ac:dyDescent="0.35">
      <c r="A26" s="9" t="str">
        <f t="shared" ca="1" si="0"/>
        <v>Bank 1</v>
      </c>
      <c r="B26" s="9" t="s">
        <v>114</v>
      </c>
      <c r="C26" s="17" t="s">
        <v>86</v>
      </c>
      <c r="D26" s="9" t="str">
        <f t="shared" ca="1" si="1"/>
        <v>ZLP6RWZO0Y439</v>
      </c>
      <c r="E26" s="9" t="str">
        <f t="shared" ca="1" si="2"/>
        <v>000705357630904</v>
      </c>
      <c r="F26" s="9" t="str">
        <f t="shared" ca="1" si="3"/>
        <v>App ID 90</v>
      </c>
      <c r="G26" s="9" t="s">
        <v>149</v>
      </c>
      <c r="H26" s="9" t="s">
        <v>49</v>
      </c>
      <c r="I26" s="19">
        <v>1940000</v>
      </c>
      <c r="J26" s="9" t="str">
        <f t="shared" ca="1" si="4"/>
        <v>transtype3</v>
      </c>
      <c r="K26" s="9" t="s">
        <v>11</v>
      </c>
      <c r="L26" s="9" t="s">
        <v>168</v>
      </c>
      <c r="M26" s="9" t="s">
        <v>167</v>
      </c>
      <c r="N26" s="9" t="str">
        <f t="shared" si="5"/>
        <v>UserLH2YQQNHZO</v>
      </c>
      <c r="O26" s="9" t="str">
        <f t="shared" ca="1" si="6"/>
        <v>Thanh toán mua A</v>
      </c>
      <c r="P26" s="18" t="str">
        <f t="shared" ca="1" si="7"/>
        <v>17643 VND</v>
      </c>
      <c r="Q26" s="21">
        <v>46175</v>
      </c>
      <c r="R26" s="21">
        <v>46178.342326388891</v>
      </c>
      <c r="S26" s="21">
        <v>46175.360891203702</v>
      </c>
      <c r="T26" s="4"/>
    </row>
    <row r="27" spans="1:20" ht="14.5" x14ac:dyDescent="0.35">
      <c r="A27" s="9" t="str">
        <f t="shared" ca="1" si="0"/>
        <v>Bank 1</v>
      </c>
      <c r="B27" s="9" t="s">
        <v>115</v>
      </c>
      <c r="C27" s="17" t="s">
        <v>87</v>
      </c>
      <c r="D27" s="9" t="str">
        <f t="shared" ca="1" si="1"/>
        <v>ZLPFQO2PLANWE</v>
      </c>
      <c r="E27" s="9" t="str">
        <f t="shared" ca="1" si="2"/>
        <v>683272534750695</v>
      </c>
      <c r="F27" s="9" t="str">
        <f t="shared" ca="1" si="3"/>
        <v>App ID 60</v>
      </c>
      <c r="G27" s="9" t="s">
        <v>150</v>
      </c>
      <c r="H27" s="9" t="s">
        <v>50</v>
      </c>
      <c r="I27" s="19">
        <v>969000</v>
      </c>
      <c r="J27" s="9" t="str">
        <f t="shared" ca="1" si="4"/>
        <v>transtype2</v>
      </c>
      <c r="K27" s="9" t="s">
        <v>11</v>
      </c>
      <c r="L27" s="9" t="s">
        <v>168</v>
      </c>
      <c r="M27" s="9" t="s">
        <v>167</v>
      </c>
      <c r="N27" s="9" t="str">
        <f t="shared" si="5"/>
        <v>UserICTR6GF5M1</v>
      </c>
      <c r="O27" s="9" t="str">
        <f t="shared" ca="1" si="6"/>
        <v>Thanh toán mua C</v>
      </c>
      <c r="P27" s="18" t="str">
        <f t="shared" ca="1" si="7"/>
        <v>25874 VND</v>
      </c>
      <c r="Q27" s="21">
        <v>46175</v>
      </c>
      <c r="R27" s="21">
        <v>46178.342326388891</v>
      </c>
      <c r="S27" s="21">
        <v>46175.360891203702</v>
      </c>
      <c r="T27" s="4"/>
    </row>
    <row r="28" spans="1:20" ht="14.5" x14ac:dyDescent="0.35">
      <c r="A28" s="9" t="str">
        <f t="shared" ca="1" si="0"/>
        <v>Bank 2</v>
      </c>
      <c r="B28" s="9" t="s">
        <v>116</v>
      </c>
      <c r="C28" s="17" t="s">
        <v>88</v>
      </c>
      <c r="D28" s="9" t="str">
        <f t="shared" ca="1" si="1"/>
        <v>ZLPOUT1UPINSG</v>
      </c>
      <c r="E28" s="9" t="str">
        <f t="shared" ca="1" si="2"/>
        <v>526732723024725</v>
      </c>
      <c r="F28" s="9" t="str">
        <f t="shared" ca="1" si="3"/>
        <v>App ID 94</v>
      </c>
      <c r="G28" s="9" t="s">
        <v>151</v>
      </c>
      <c r="H28" s="9" t="s">
        <v>51</v>
      </c>
      <c r="I28" s="19">
        <v>3417000</v>
      </c>
      <c r="J28" s="9" t="str">
        <f t="shared" ca="1" si="4"/>
        <v>transtype2</v>
      </c>
      <c r="K28" s="9" t="s">
        <v>11</v>
      </c>
      <c r="L28" s="9" t="s">
        <v>168</v>
      </c>
      <c r="M28" s="9" t="s">
        <v>167</v>
      </c>
      <c r="N28" s="9" t="str">
        <f t="shared" si="5"/>
        <v>UserQKAQLCPR6W</v>
      </c>
      <c r="O28" s="9" t="str">
        <f t="shared" ca="1" si="6"/>
        <v>Thanh toán mua C</v>
      </c>
      <c r="P28" s="18" t="str">
        <f t="shared" ca="1" si="7"/>
        <v>64793 VND</v>
      </c>
      <c r="Q28" s="21">
        <v>46175</v>
      </c>
      <c r="R28" s="21">
        <v>46178.342326388891</v>
      </c>
      <c r="S28" s="21">
        <v>46175.360891203702</v>
      </c>
      <c r="T28" s="4"/>
    </row>
    <row r="29" spans="1:20" ht="14.5" x14ac:dyDescent="0.35">
      <c r="A29" s="9" t="str">
        <f t="shared" ca="1" si="0"/>
        <v>Bank 2</v>
      </c>
      <c r="B29" s="9" t="s">
        <v>117</v>
      </c>
      <c r="C29" s="17" t="s">
        <v>89</v>
      </c>
      <c r="D29" s="9" t="str">
        <f t="shared" ca="1" si="1"/>
        <v>ZLPEI8FPIJA5K</v>
      </c>
      <c r="E29" s="9" t="str">
        <f t="shared" ca="1" si="2"/>
        <v>394380857753400</v>
      </c>
      <c r="F29" s="9" t="str">
        <f t="shared" ca="1" si="3"/>
        <v>App ID 46</v>
      </c>
      <c r="G29" s="9" t="s">
        <v>152</v>
      </c>
      <c r="H29" s="9" t="s">
        <v>52</v>
      </c>
      <c r="I29" s="19">
        <v>3000000</v>
      </c>
      <c r="J29" s="9" t="str">
        <f t="shared" ca="1" si="4"/>
        <v>transtype2</v>
      </c>
      <c r="K29" s="9" t="s">
        <v>11</v>
      </c>
      <c r="L29" s="9" t="s">
        <v>168</v>
      </c>
      <c r="M29" s="9" t="s">
        <v>167</v>
      </c>
      <c r="N29" s="9" t="str">
        <f t="shared" si="5"/>
        <v>UserLFP6M7ZO9N</v>
      </c>
      <c r="O29" s="9" t="str">
        <f t="shared" ca="1" si="6"/>
        <v>Thanh toán mua A</v>
      </c>
      <c r="P29" s="18" t="str">
        <f t="shared" ca="1" si="7"/>
        <v>24082 VND</v>
      </c>
      <c r="Q29" s="21">
        <v>46175</v>
      </c>
      <c r="R29" s="21">
        <v>46178.342326388891</v>
      </c>
      <c r="S29" s="21">
        <v>46175.360891203702</v>
      </c>
      <c r="T29" s="4"/>
    </row>
    <row r="30" spans="1:20" ht="14.5" x14ac:dyDescent="0.35">
      <c r="A30" s="9" t="str">
        <f t="shared" ca="1" si="0"/>
        <v>Bank 3</v>
      </c>
      <c r="B30" s="9" t="s">
        <v>118</v>
      </c>
      <c r="C30" s="17" t="s">
        <v>90</v>
      </c>
      <c r="D30" s="9" t="str">
        <f t="shared" ca="1" si="1"/>
        <v>ZLP4JZZPP2S37</v>
      </c>
      <c r="E30" s="9" t="str">
        <f t="shared" ca="1" si="2"/>
        <v>587033787026184</v>
      </c>
      <c r="F30" s="9" t="str">
        <f t="shared" ca="1" si="3"/>
        <v>App ID 1</v>
      </c>
      <c r="G30" s="9" t="s">
        <v>153</v>
      </c>
      <c r="H30" s="9" t="s">
        <v>53</v>
      </c>
      <c r="I30" s="19">
        <v>3624997</v>
      </c>
      <c r="J30" s="9" t="str">
        <f t="shared" ca="1" si="4"/>
        <v>transtype1</v>
      </c>
      <c r="K30" s="9" t="s">
        <v>11</v>
      </c>
      <c r="L30" s="9" t="s">
        <v>168</v>
      </c>
      <c r="M30" s="9" t="s">
        <v>167</v>
      </c>
      <c r="N30" s="9" t="str">
        <f t="shared" si="5"/>
        <v>User7GPN2OGLCL</v>
      </c>
      <c r="O30" s="9" t="str">
        <f t="shared" ca="1" si="6"/>
        <v>Thanh toán mua C</v>
      </c>
      <c r="P30" s="18" t="str">
        <f t="shared" ca="1" si="7"/>
        <v>15927 VND</v>
      </c>
      <c r="Q30" s="21">
        <v>46160</v>
      </c>
      <c r="R30" s="21">
        <v>46160.497349537036</v>
      </c>
      <c r="S30" s="21">
        <v>46160.497349537036</v>
      </c>
      <c r="T30" s="4"/>
    </row>
    <row r="31" spans="1:20" ht="14.5" x14ac:dyDescent="0.35">
      <c r="A31" s="9" t="str">
        <f t="shared" ca="1" si="0"/>
        <v>Bank 3</v>
      </c>
      <c r="B31" s="9" t="s">
        <v>119</v>
      </c>
      <c r="C31" s="17" t="s">
        <v>91</v>
      </c>
      <c r="D31" s="9" t="str">
        <f t="shared" ca="1" si="1"/>
        <v>ZLPG73RIMSH2P</v>
      </c>
      <c r="E31" s="9" t="str">
        <f t="shared" ca="1" si="2"/>
        <v>516968184083328</v>
      </c>
      <c r="F31" s="9" t="str">
        <f t="shared" ca="1" si="3"/>
        <v>App ID 23</v>
      </c>
      <c r="G31" s="9" t="s">
        <v>154</v>
      </c>
      <c r="H31" s="9" t="s">
        <v>54</v>
      </c>
      <c r="I31" s="19">
        <v>426650</v>
      </c>
      <c r="J31" s="9" t="str">
        <f t="shared" ca="1" si="4"/>
        <v>transtype1</v>
      </c>
      <c r="K31" s="9" t="s">
        <v>11</v>
      </c>
      <c r="L31" s="9" t="s">
        <v>168</v>
      </c>
      <c r="M31" s="9" t="s">
        <v>167</v>
      </c>
      <c r="N31" s="9" t="str">
        <f t="shared" si="5"/>
        <v>UserPZXBRS4RTH</v>
      </c>
      <c r="O31" s="9" t="str">
        <f t="shared" ca="1" si="6"/>
        <v>Thanh toán mua B</v>
      </c>
      <c r="P31" s="18" t="str">
        <f t="shared" ca="1" si="7"/>
        <v>33695 VND</v>
      </c>
      <c r="Q31" s="21">
        <v>46160</v>
      </c>
      <c r="R31" s="21">
        <v>46160.497349537036</v>
      </c>
      <c r="S31" s="21">
        <v>46160.497349537036</v>
      </c>
      <c r="T31" s="4"/>
    </row>
    <row r="32" spans="1:20" ht="14.5" x14ac:dyDescent="0.35">
      <c r="A32" s="9" t="str">
        <f t="shared" ca="1" si="0"/>
        <v>Bank 3</v>
      </c>
      <c r="B32" s="9" t="s">
        <v>120</v>
      </c>
      <c r="C32" s="17" t="s">
        <v>92</v>
      </c>
      <c r="D32" s="9" t="str">
        <f t="shared" ca="1" si="1"/>
        <v>ZLP5VI93KWV90</v>
      </c>
      <c r="E32" s="9" t="str">
        <f t="shared" ca="1" si="2"/>
        <v>657428844088075</v>
      </c>
      <c r="F32" s="9" t="str">
        <f t="shared" ca="1" si="3"/>
        <v>App ID 41</v>
      </c>
      <c r="G32" s="9" t="s">
        <v>155</v>
      </c>
      <c r="H32" s="9" t="s">
        <v>55</v>
      </c>
      <c r="I32" s="19">
        <v>5000000</v>
      </c>
      <c r="J32" s="9" t="str">
        <f t="shared" ca="1" si="4"/>
        <v>transtype3</v>
      </c>
      <c r="K32" s="9" t="s">
        <v>11</v>
      </c>
      <c r="L32" s="9" t="s">
        <v>168</v>
      </c>
      <c r="M32" s="9" t="s">
        <v>167</v>
      </c>
      <c r="N32" s="9" t="str">
        <f t="shared" si="5"/>
        <v>UserNJAZGBPLX7</v>
      </c>
      <c r="O32" s="9" t="str">
        <f t="shared" ca="1" si="6"/>
        <v>Thanh toán mua A</v>
      </c>
      <c r="P32" s="18" t="str">
        <f t="shared" ca="1" si="7"/>
        <v>69986 VND</v>
      </c>
      <c r="Q32" s="21">
        <v>46160</v>
      </c>
      <c r="R32" s="21">
        <v>46160.497349537036</v>
      </c>
      <c r="S32" s="21">
        <v>46160.497349537036</v>
      </c>
      <c r="T32" s="4"/>
    </row>
    <row r="33" spans="1:20" ht="14.5" x14ac:dyDescent="0.35">
      <c r="A33" s="9" t="str">
        <f t="shared" ca="1" si="0"/>
        <v>Bank 1</v>
      </c>
      <c r="B33" s="9" t="s">
        <v>121</v>
      </c>
      <c r="C33" s="17" t="s">
        <v>93</v>
      </c>
      <c r="D33" s="9" t="str">
        <f t="shared" ca="1" si="1"/>
        <v>ZLPM35NMQV91V</v>
      </c>
      <c r="E33" s="9" t="str">
        <f t="shared" ca="1" si="2"/>
        <v>912310823455759</v>
      </c>
      <c r="F33" s="9" t="str">
        <f t="shared" ca="1" si="3"/>
        <v>App ID 83</v>
      </c>
      <c r="G33" s="9" t="s">
        <v>156</v>
      </c>
      <c r="H33" s="9" t="s">
        <v>56</v>
      </c>
      <c r="I33" s="19">
        <v>2000000</v>
      </c>
      <c r="J33" s="9" t="str">
        <f t="shared" ca="1" si="4"/>
        <v>transtype2</v>
      </c>
      <c r="K33" s="9" t="s">
        <v>11</v>
      </c>
      <c r="L33" s="9" t="s">
        <v>168</v>
      </c>
      <c r="M33" s="9" t="s">
        <v>167</v>
      </c>
      <c r="N33" s="9" t="str">
        <f t="shared" si="5"/>
        <v>UserHCWN1VQTZF</v>
      </c>
      <c r="O33" s="9" t="str">
        <f t="shared" ca="1" si="6"/>
        <v>Thanh toán mua A</v>
      </c>
      <c r="P33" s="18" t="str">
        <f t="shared" ca="1" si="7"/>
        <v>72770 VND</v>
      </c>
      <c r="Q33" s="21">
        <v>46160</v>
      </c>
      <c r="R33" s="21">
        <v>46160.497349537036</v>
      </c>
      <c r="S33" s="21">
        <v>46160.497349537036</v>
      </c>
      <c r="T33" s="4"/>
    </row>
    <row r="34" spans="1:20" ht="14.5" x14ac:dyDescent="0.35">
      <c r="A34" s="9" t="str">
        <f t="shared" ca="1" si="0"/>
        <v>Bank 2</v>
      </c>
      <c r="B34" s="9" t="s">
        <v>122</v>
      </c>
      <c r="C34" s="17" t="s">
        <v>94</v>
      </c>
      <c r="D34" s="9" t="str">
        <f t="shared" ca="1" si="1"/>
        <v>ZLPWL3VZFT4V5</v>
      </c>
      <c r="E34" s="9" t="str">
        <f t="shared" ca="1" si="2"/>
        <v>771380498999469</v>
      </c>
      <c r="F34" s="9" t="str">
        <f t="shared" ca="1" si="3"/>
        <v>App ID 87</v>
      </c>
      <c r="G34" s="9" t="s">
        <v>157</v>
      </c>
      <c r="H34" s="9" t="s">
        <v>57</v>
      </c>
      <c r="I34" s="19">
        <v>500000</v>
      </c>
      <c r="J34" s="9" t="str">
        <f t="shared" ca="1" si="4"/>
        <v>transtype1</v>
      </c>
      <c r="K34" s="9" t="s">
        <v>11</v>
      </c>
      <c r="L34" s="9" t="s">
        <v>168</v>
      </c>
      <c r="M34" s="9" t="s">
        <v>167</v>
      </c>
      <c r="N34" s="9" t="str">
        <f t="shared" si="5"/>
        <v>User4M4F64YJPU</v>
      </c>
      <c r="O34" s="9" t="str">
        <f t="shared" ca="1" si="6"/>
        <v>Thanh toán mua B</v>
      </c>
      <c r="P34" s="18" t="str">
        <f t="shared" ca="1" si="7"/>
        <v>30529 VND</v>
      </c>
      <c r="Q34" s="21">
        <v>46160</v>
      </c>
      <c r="R34" s="21">
        <v>46160.497349537036</v>
      </c>
      <c r="S34" s="21">
        <v>46160.497349537036</v>
      </c>
      <c r="T34" s="4"/>
    </row>
    <row r="35" spans="1:20" ht="14.5" x14ac:dyDescent="0.35">
      <c r="A35" s="9" t="str">
        <f t="shared" ca="1" si="0"/>
        <v>Bank 1</v>
      </c>
      <c r="B35" s="9" t="s">
        <v>123</v>
      </c>
      <c r="C35" s="17" t="s">
        <v>95</v>
      </c>
      <c r="D35" s="9" t="str">
        <f t="shared" ca="1" si="1"/>
        <v>ZLPADBHFI2WGZ</v>
      </c>
      <c r="E35" s="9" t="str">
        <f t="shared" ca="1" si="2"/>
        <v>025711324401972</v>
      </c>
      <c r="F35" s="9" t="str">
        <f t="shared" ca="1" si="3"/>
        <v>App ID 34</v>
      </c>
      <c r="G35" s="9" t="s">
        <v>158</v>
      </c>
      <c r="H35" s="9" t="s">
        <v>58</v>
      </c>
      <c r="I35" s="19">
        <v>1000000</v>
      </c>
      <c r="J35" s="9" t="str">
        <f t="shared" ca="1" si="4"/>
        <v>transtype1</v>
      </c>
      <c r="K35" s="9" t="s">
        <v>11</v>
      </c>
      <c r="L35" s="9" t="s">
        <v>168</v>
      </c>
      <c r="M35" s="9" t="s">
        <v>167</v>
      </c>
      <c r="N35" s="9" t="str">
        <f t="shared" si="5"/>
        <v>UserFDS3W372JX</v>
      </c>
      <c r="O35" s="9" t="str">
        <f t="shared" ca="1" si="6"/>
        <v>Thanh toán mua C</v>
      </c>
      <c r="P35" s="18" t="str">
        <f t="shared" ca="1" si="7"/>
        <v>44222 VND</v>
      </c>
      <c r="Q35" s="21">
        <v>46160</v>
      </c>
      <c r="R35" s="21">
        <v>46160.497349537036</v>
      </c>
      <c r="S35" s="21">
        <v>46160.497349537036</v>
      </c>
      <c r="T35" s="4"/>
    </row>
    <row r="36" spans="1:20" ht="14.5" x14ac:dyDescent="0.35">
      <c r="A36" s="9" t="str">
        <f t="shared" ca="1" si="0"/>
        <v>Bank 2</v>
      </c>
      <c r="B36" s="9" t="s">
        <v>124</v>
      </c>
      <c r="C36" s="17" t="s">
        <v>96</v>
      </c>
      <c r="D36" s="9" t="str">
        <f t="shared" ca="1" si="1"/>
        <v>ZLP2J4BHCTTNI</v>
      </c>
      <c r="E36" s="9" t="str">
        <f t="shared" ca="1" si="2"/>
        <v>571569156956335</v>
      </c>
      <c r="F36" s="9" t="str">
        <f t="shared" ca="1" si="3"/>
        <v>App ID 5</v>
      </c>
      <c r="G36" s="9" t="s">
        <v>159</v>
      </c>
      <c r="H36" s="9" t="s">
        <v>59</v>
      </c>
      <c r="I36" s="19">
        <v>970000</v>
      </c>
      <c r="J36" s="9" t="str">
        <f t="shared" ca="1" si="4"/>
        <v>transtype3</v>
      </c>
      <c r="K36" s="9" t="s">
        <v>11</v>
      </c>
      <c r="L36" s="9" t="s">
        <v>168</v>
      </c>
      <c r="M36" s="9" t="s">
        <v>167</v>
      </c>
      <c r="N36" s="9" t="str">
        <f t="shared" si="5"/>
        <v>User6AVHVEN0BO</v>
      </c>
      <c r="O36" s="9" t="str">
        <f t="shared" ca="1" si="6"/>
        <v>Thanh toán mua C</v>
      </c>
      <c r="P36" s="18" t="str">
        <f t="shared" ca="1" si="7"/>
        <v>62957 VND</v>
      </c>
      <c r="Q36" s="21">
        <v>46160</v>
      </c>
      <c r="R36" s="21">
        <v>46160.497349537036</v>
      </c>
      <c r="S36" s="21">
        <v>46160.497349537036</v>
      </c>
      <c r="T36" s="4"/>
    </row>
    <row r="37" spans="1:20" ht="14.5" x14ac:dyDescent="0.35">
      <c r="A37" s="9" t="str">
        <f t="shared" ca="1" si="0"/>
        <v>Bank 2</v>
      </c>
      <c r="B37" s="9" t="s">
        <v>125</v>
      </c>
      <c r="C37" s="17" t="s">
        <v>97</v>
      </c>
      <c r="D37" s="9" t="str">
        <f t="shared" ca="1" si="1"/>
        <v>ZLPA1JS6ISNPV</v>
      </c>
      <c r="E37" s="9" t="str">
        <f t="shared" ca="1" si="2"/>
        <v>663944027649241</v>
      </c>
      <c r="F37" s="9" t="str">
        <f t="shared" ca="1" si="3"/>
        <v>App ID 85</v>
      </c>
      <c r="G37" s="9" t="s">
        <v>160</v>
      </c>
      <c r="H37" s="9" t="s">
        <v>60</v>
      </c>
      <c r="I37" s="19">
        <v>485000</v>
      </c>
      <c r="J37" s="9" t="str">
        <f t="shared" ca="1" si="4"/>
        <v>transtype1</v>
      </c>
      <c r="K37" s="9" t="s">
        <v>11</v>
      </c>
      <c r="L37" s="9" t="s">
        <v>168</v>
      </c>
      <c r="M37" s="9" t="s">
        <v>167</v>
      </c>
      <c r="N37" s="9" t="str">
        <f t="shared" si="5"/>
        <v>UserBDO4JZB9SO</v>
      </c>
      <c r="O37" s="9" t="str">
        <f t="shared" ca="1" si="6"/>
        <v>Thanh toán mua A</v>
      </c>
      <c r="P37" s="18" t="str">
        <f t="shared" ca="1" si="7"/>
        <v>32340 VND</v>
      </c>
      <c r="Q37" s="21">
        <v>43204</v>
      </c>
      <c r="R37" s="21">
        <v>44519.957037037035</v>
      </c>
      <c r="S37" s="21">
        <v>44519.957037037035</v>
      </c>
      <c r="T37" s="4"/>
    </row>
    <row r="38" spans="1:20" ht="28.5" x14ac:dyDescent="0.35">
      <c r="A38" s="9" t="str">
        <f t="shared" ca="1" si="0"/>
        <v>Bank 2</v>
      </c>
      <c r="B38" s="9" t="s">
        <v>126</v>
      </c>
      <c r="C38" s="17" t="s">
        <v>98</v>
      </c>
      <c r="D38" s="9" t="str">
        <f t="shared" ca="1" si="1"/>
        <v>ZLPRF5IVA6TRO</v>
      </c>
      <c r="E38" s="9" t="str">
        <f t="shared" ca="1" si="2"/>
        <v>109362605331185</v>
      </c>
      <c r="F38" s="9" t="str">
        <f t="shared" ca="1" si="3"/>
        <v>App ID 100</v>
      </c>
      <c r="G38" s="9" t="s">
        <v>161</v>
      </c>
      <c r="H38" s="9" t="s">
        <v>61</v>
      </c>
      <c r="I38" s="19">
        <v>194000</v>
      </c>
      <c r="J38" s="9" t="str">
        <f t="shared" ca="1" si="4"/>
        <v>transtype3</v>
      </c>
      <c r="K38" s="9" t="s">
        <v>21</v>
      </c>
      <c r="L38" s="9" t="s">
        <v>168</v>
      </c>
      <c r="M38" s="9" t="s">
        <v>167</v>
      </c>
      <c r="N38" s="9" t="str">
        <f t="shared" si="5"/>
        <v>UserE7SQMEKLDJ</v>
      </c>
      <c r="O38" s="9" t="str">
        <f t="shared" ca="1" si="6"/>
        <v>Thanh toán mua B</v>
      </c>
      <c r="P38" s="18" t="str">
        <f t="shared" ca="1" si="7"/>
        <v>68801 VND</v>
      </c>
      <c r="Q38" s="21">
        <v>43204</v>
      </c>
      <c r="R38" s="21">
        <v>44519.957037037035</v>
      </c>
      <c r="S38" s="21">
        <v>44519.957037037035</v>
      </c>
      <c r="T38" s="4"/>
    </row>
    <row r="39" spans="1:20" ht="14.5" x14ac:dyDescent="0.35">
      <c r="A39" s="9" t="str">
        <f t="shared" ca="1" si="0"/>
        <v>Bank 3</v>
      </c>
      <c r="B39" s="9" t="s">
        <v>126</v>
      </c>
      <c r="C39" s="17" t="s">
        <v>98</v>
      </c>
      <c r="D39" s="9" t="str">
        <f t="shared" ca="1" si="1"/>
        <v>ZLPZ7PVK3PNYL</v>
      </c>
      <c r="E39" s="9" t="str">
        <f t="shared" ca="1" si="2"/>
        <v>340385793034325</v>
      </c>
      <c r="F39" s="9" t="str">
        <f t="shared" ca="1" si="3"/>
        <v>App ID 28</v>
      </c>
      <c r="G39" s="9" t="s">
        <v>161</v>
      </c>
      <c r="H39" s="9" t="s">
        <v>62</v>
      </c>
      <c r="I39" s="19">
        <v>199000</v>
      </c>
      <c r="J39" s="9" t="str">
        <f t="shared" ca="1" si="4"/>
        <v>transtype1</v>
      </c>
      <c r="K39" s="9" t="s">
        <v>11</v>
      </c>
      <c r="L39" s="9" t="s">
        <v>168</v>
      </c>
      <c r="M39" s="9" t="s">
        <v>167</v>
      </c>
      <c r="N39" s="9" t="str">
        <f t="shared" si="5"/>
        <v>UserE7SQMEKLDJ</v>
      </c>
      <c r="O39" s="9" t="str">
        <f t="shared" ca="1" si="6"/>
        <v>Thanh toán mua A</v>
      </c>
      <c r="P39" s="18" t="str">
        <f t="shared" ca="1" si="7"/>
        <v>19971 VND</v>
      </c>
      <c r="Q39" s="21">
        <v>43204</v>
      </c>
      <c r="R39" s="21">
        <v>44519.957037037035</v>
      </c>
      <c r="S39" s="21">
        <v>44519.957037037035</v>
      </c>
      <c r="T39" s="4"/>
    </row>
    <row r="40" spans="1:20" ht="14.5" x14ac:dyDescent="0.35">
      <c r="A40" s="9" t="str">
        <f t="shared" ca="1" si="0"/>
        <v>Bank 2</v>
      </c>
      <c r="B40" s="9" t="s">
        <v>126</v>
      </c>
      <c r="C40" s="17" t="s">
        <v>98</v>
      </c>
      <c r="D40" s="9" t="str">
        <f t="shared" ca="1" si="1"/>
        <v>ZLPFQMRLI9CAP</v>
      </c>
      <c r="E40" s="9" t="str">
        <f t="shared" ca="1" si="2"/>
        <v>494776571475097</v>
      </c>
      <c r="F40" s="9" t="str">
        <f t="shared" ca="1" si="3"/>
        <v>App ID 7</v>
      </c>
      <c r="G40" s="9" t="s">
        <v>161</v>
      </c>
      <c r="H40" s="9" t="s">
        <v>22</v>
      </c>
      <c r="I40" s="19">
        <v>199000</v>
      </c>
      <c r="J40" s="9" t="str">
        <f t="shared" ca="1" si="4"/>
        <v>transtype3</v>
      </c>
      <c r="K40" s="9" t="s">
        <v>11</v>
      </c>
      <c r="L40" s="9" t="s">
        <v>168</v>
      </c>
      <c r="M40" s="9" t="s">
        <v>167</v>
      </c>
      <c r="N40" s="9" t="str">
        <f t="shared" si="5"/>
        <v>UserE7SQMEKLDJ</v>
      </c>
      <c r="O40" s="9" t="str">
        <f t="shared" ca="1" si="6"/>
        <v>Thanh toán mua B</v>
      </c>
      <c r="P40" s="18" t="str">
        <f t="shared" ca="1" si="7"/>
        <v>12128 VND</v>
      </c>
      <c r="Q40" s="21">
        <v>45973</v>
      </c>
      <c r="R40" s="21">
        <v>46056.452627314815</v>
      </c>
      <c r="S40" s="21">
        <v>46056.452627314815</v>
      </c>
      <c r="T40" s="4"/>
    </row>
    <row r="41" spans="1:20" ht="14.5" x14ac:dyDescent="0.35">
      <c r="A41" s="9" t="str">
        <f t="shared" ca="1" si="0"/>
        <v>Bank 1</v>
      </c>
      <c r="B41" s="9" t="s">
        <v>126</v>
      </c>
      <c r="C41" s="17" t="s">
        <v>98</v>
      </c>
      <c r="D41" s="9" t="str">
        <f t="shared" ca="1" si="1"/>
        <v>ZLPLRNWKU19AD</v>
      </c>
      <c r="E41" s="9" t="str">
        <f t="shared" ca="1" si="2"/>
        <v>585259189429194</v>
      </c>
      <c r="F41" s="9" t="str">
        <f t="shared" ca="1" si="3"/>
        <v>App ID 31</v>
      </c>
      <c r="G41" s="9" t="s">
        <v>161</v>
      </c>
      <c r="H41" s="9" t="s">
        <v>23</v>
      </c>
      <c r="I41" s="19">
        <v>199000</v>
      </c>
      <c r="J41" s="9" t="str">
        <f t="shared" ca="1" si="4"/>
        <v>transtype2</v>
      </c>
      <c r="K41" s="9" t="s">
        <v>11</v>
      </c>
      <c r="L41" s="9" t="s">
        <v>168</v>
      </c>
      <c r="M41" s="9" t="s">
        <v>167</v>
      </c>
      <c r="N41" s="9" t="str">
        <f t="shared" si="5"/>
        <v>UserE7SQMEKLDJ</v>
      </c>
      <c r="O41" s="9" t="str">
        <f t="shared" ca="1" si="6"/>
        <v>Thanh toán mua A</v>
      </c>
      <c r="P41" s="18" t="str">
        <f t="shared" ca="1" si="7"/>
        <v>61938 VND</v>
      </c>
      <c r="Q41" s="21">
        <v>43856</v>
      </c>
      <c r="R41" s="21">
        <v>45141.403622685182</v>
      </c>
      <c r="S41" s="21">
        <v>45141.403622685182</v>
      </c>
      <c r="T41" s="4"/>
    </row>
    <row r="42" spans="1:20" ht="14.5" x14ac:dyDescent="0.35">
      <c r="A42" s="9" t="str">
        <f t="shared" ca="1" si="0"/>
        <v>Bank 1</v>
      </c>
      <c r="B42" s="9" t="s">
        <v>126</v>
      </c>
      <c r="C42" s="17" t="s">
        <v>98</v>
      </c>
      <c r="D42" s="9" t="str">
        <f t="shared" ca="1" si="1"/>
        <v>ZLP84NFWPCU1W</v>
      </c>
      <c r="E42" s="9" t="str">
        <f t="shared" ca="1" si="2"/>
        <v>113279326875077</v>
      </c>
      <c r="F42" s="9" t="str">
        <f t="shared" ca="1" si="3"/>
        <v>App ID 79</v>
      </c>
      <c r="G42" s="9" t="s">
        <v>161</v>
      </c>
      <c r="H42" s="9" t="s">
        <v>20</v>
      </c>
      <c r="I42" s="19">
        <v>1999999</v>
      </c>
      <c r="J42" s="9" t="str">
        <f t="shared" ca="1" si="4"/>
        <v>transtype3</v>
      </c>
      <c r="K42" s="9" t="s">
        <v>11</v>
      </c>
      <c r="L42" s="9" t="s">
        <v>168</v>
      </c>
      <c r="M42" s="9" t="s">
        <v>167</v>
      </c>
      <c r="N42" s="9" t="str">
        <f t="shared" si="5"/>
        <v>UserE7SQMEKLDJ</v>
      </c>
      <c r="O42" s="9" t="str">
        <f t="shared" ca="1" si="6"/>
        <v>Thanh toán mua B</v>
      </c>
      <c r="P42" s="18" t="str">
        <f t="shared" ca="1" si="7"/>
        <v>27938 VND</v>
      </c>
      <c r="Q42" s="21">
        <v>43856</v>
      </c>
      <c r="R42" s="21">
        <v>45141.403622685182</v>
      </c>
      <c r="S42" s="21">
        <v>45141.403622685182</v>
      </c>
      <c r="T42" s="4"/>
    </row>
    <row r="43" spans="1:20" ht="14.5" x14ac:dyDescent="0.35">
      <c r="A43" s="9" t="str">
        <f t="shared" ca="1" si="0"/>
        <v>Bank 2</v>
      </c>
      <c r="B43" s="9" t="s">
        <v>126</v>
      </c>
      <c r="C43" s="17" t="s">
        <v>98</v>
      </c>
      <c r="D43" s="9" t="str">
        <f t="shared" ca="1" si="1"/>
        <v>ZLPP4JWJVQQT0</v>
      </c>
      <c r="E43" s="9" t="str">
        <f t="shared" ca="1" si="2"/>
        <v>801466410484482</v>
      </c>
      <c r="F43" s="9" t="str">
        <f t="shared" ca="1" si="3"/>
        <v>App ID 48</v>
      </c>
      <c r="G43" s="9" t="s">
        <v>161</v>
      </c>
      <c r="H43" s="9" t="s">
        <v>24</v>
      </c>
      <c r="I43" s="19">
        <v>500000</v>
      </c>
      <c r="J43" s="9" t="str">
        <f t="shared" ca="1" si="4"/>
        <v>transtype2</v>
      </c>
      <c r="K43" s="9" t="s">
        <v>11</v>
      </c>
      <c r="L43" s="9" t="s">
        <v>168</v>
      </c>
      <c r="M43" s="9" t="s">
        <v>167</v>
      </c>
      <c r="N43" s="9" t="str">
        <f t="shared" si="5"/>
        <v>UserE7SQMEKLDJ</v>
      </c>
      <c r="O43" s="9" t="str">
        <f t="shared" ca="1" si="6"/>
        <v>Thanh toán mua C</v>
      </c>
      <c r="P43" s="18" t="str">
        <f t="shared" ca="1" si="7"/>
        <v>35826 VND</v>
      </c>
      <c r="Q43" s="21">
        <v>43856</v>
      </c>
      <c r="R43" s="21">
        <v>45141.403622685182</v>
      </c>
      <c r="S43" s="21">
        <v>45141.403622685182</v>
      </c>
      <c r="T43" s="4"/>
    </row>
    <row r="44" spans="1:20" ht="14.5" x14ac:dyDescent="0.35">
      <c r="A44" s="9" t="str">
        <f t="shared" ca="1" si="0"/>
        <v>Bank 1</v>
      </c>
      <c r="B44" s="9" t="s">
        <v>126</v>
      </c>
      <c r="C44" s="17" t="s">
        <v>98</v>
      </c>
      <c r="D44" s="9" t="str">
        <f t="shared" ca="1" si="1"/>
        <v>ZLPGTHMUVUBGS</v>
      </c>
      <c r="E44" s="9" t="str">
        <f t="shared" ca="1" si="2"/>
        <v>063132839790187</v>
      </c>
      <c r="F44" s="9" t="str">
        <f t="shared" ca="1" si="3"/>
        <v>App ID 74</v>
      </c>
      <c r="G44" s="9" t="s">
        <v>161</v>
      </c>
      <c r="H44" s="9" t="s">
        <v>63</v>
      </c>
      <c r="I44" s="19">
        <v>1500000</v>
      </c>
      <c r="J44" s="9" t="str">
        <f t="shared" ca="1" si="4"/>
        <v>transtype1</v>
      </c>
      <c r="K44" s="9" t="s">
        <v>11</v>
      </c>
      <c r="L44" s="9" t="s">
        <v>168</v>
      </c>
      <c r="M44" s="9" t="s">
        <v>167</v>
      </c>
      <c r="N44" s="9" t="str">
        <f t="shared" si="5"/>
        <v>UserE7SQMEKLDJ</v>
      </c>
      <c r="O44" s="9" t="str">
        <f t="shared" ca="1" si="6"/>
        <v>Thanh toán mua B</v>
      </c>
      <c r="P44" s="18" t="str">
        <f t="shared" ca="1" si="7"/>
        <v>17141 VND</v>
      </c>
      <c r="Q44" s="21">
        <v>44994</v>
      </c>
      <c r="R44" s="21">
        <v>46170.685729166667</v>
      </c>
      <c r="S44" s="21">
        <v>44994.397256944445</v>
      </c>
      <c r="T44" s="4"/>
    </row>
    <row r="45" spans="1:20" ht="28.5" x14ac:dyDescent="0.35">
      <c r="A45" s="9" t="str">
        <f t="shared" ca="1" si="0"/>
        <v>Bank 1</v>
      </c>
      <c r="B45" s="9" t="s">
        <v>126</v>
      </c>
      <c r="C45" s="17" t="s">
        <v>98</v>
      </c>
      <c r="D45" s="9" t="str">
        <f t="shared" ca="1" si="1"/>
        <v>ZLP7CCC7X3P0K</v>
      </c>
      <c r="E45" s="9" t="str">
        <f t="shared" ca="1" si="2"/>
        <v>634643902508229</v>
      </c>
      <c r="F45" s="9" t="str">
        <f t="shared" ca="1" si="3"/>
        <v>App ID 1</v>
      </c>
      <c r="G45" s="9" t="s">
        <v>161</v>
      </c>
      <c r="H45" s="9" t="s">
        <v>64</v>
      </c>
      <c r="I45" s="19">
        <v>1500000</v>
      </c>
      <c r="J45" s="9" t="str">
        <f t="shared" ca="1" si="4"/>
        <v>transtype2</v>
      </c>
      <c r="K45" s="9" t="s">
        <v>21</v>
      </c>
      <c r="L45" s="9" t="s">
        <v>168</v>
      </c>
      <c r="M45" s="9" t="s">
        <v>167</v>
      </c>
      <c r="N45" s="9" t="str">
        <f t="shared" si="5"/>
        <v>UserE7SQMEKLDJ</v>
      </c>
      <c r="O45" s="9" t="str">
        <f t="shared" ca="1" si="6"/>
        <v>Thanh toán mua B</v>
      </c>
      <c r="P45" s="18" t="str">
        <f t="shared" ca="1" si="7"/>
        <v>22705 VND</v>
      </c>
      <c r="Q45" s="21">
        <v>44994</v>
      </c>
      <c r="R45" s="21">
        <v>46170.685729166667</v>
      </c>
      <c r="S45" s="21">
        <v>44994.397256944445</v>
      </c>
      <c r="T45" s="4"/>
    </row>
    <row r="46" spans="1:20" ht="14.5" x14ac:dyDescent="0.35">
      <c r="A46" s="9" t="str">
        <f t="shared" ca="1" si="0"/>
        <v>Bank 2</v>
      </c>
      <c r="B46" s="9" t="s">
        <v>127</v>
      </c>
      <c r="C46" s="17" t="s">
        <v>99</v>
      </c>
      <c r="D46" s="9" t="str">
        <f t="shared" ca="1" si="1"/>
        <v>ZLPLF9KM0FKAU</v>
      </c>
      <c r="E46" s="9" t="str">
        <f t="shared" ca="1" si="2"/>
        <v>643589927871742</v>
      </c>
      <c r="F46" s="9" t="str">
        <f t="shared" ca="1" si="3"/>
        <v>App ID 68</v>
      </c>
      <c r="G46" s="9" t="s">
        <v>162</v>
      </c>
      <c r="H46" s="9" t="s">
        <v>65</v>
      </c>
      <c r="I46" s="19">
        <v>1500000</v>
      </c>
      <c r="J46" s="9" t="str">
        <f t="shared" ca="1" si="4"/>
        <v>transtype2</v>
      </c>
      <c r="K46" s="9" t="s">
        <v>11</v>
      </c>
      <c r="L46" s="9" t="s">
        <v>168</v>
      </c>
      <c r="M46" s="9" t="s">
        <v>167</v>
      </c>
      <c r="N46" s="9" t="str">
        <f t="shared" si="5"/>
        <v>UserI9RHIE1U67</v>
      </c>
      <c r="O46" s="9" t="str">
        <f t="shared" ca="1" si="6"/>
        <v>Thanh toán mua B</v>
      </c>
      <c r="P46" s="18" t="str">
        <f t="shared" ca="1" si="7"/>
        <v>19574 VND</v>
      </c>
      <c r="Q46" s="21">
        <v>45931</v>
      </c>
      <c r="R46" s="21">
        <v>45931.482233796298</v>
      </c>
      <c r="S46" s="21">
        <v>45931.482233796298</v>
      </c>
      <c r="T46" s="4"/>
    </row>
    <row r="47" spans="1:20" ht="14.5" x14ac:dyDescent="0.35">
      <c r="A47" s="9" t="str">
        <f t="shared" ca="1" si="0"/>
        <v>Bank 1</v>
      </c>
      <c r="B47" s="9" t="s">
        <v>128</v>
      </c>
      <c r="C47" s="17" t="s">
        <v>100</v>
      </c>
      <c r="D47" s="9" t="str">
        <f t="shared" ca="1" si="1"/>
        <v>ZLPQU2SMX11ZO</v>
      </c>
      <c r="E47" s="9" t="str">
        <f t="shared" ca="1" si="2"/>
        <v>226425047200073</v>
      </c>
      <c r="F47" s="9" t="str">
        <f t="shared" ca="1" si="3"/>
        <v>App ID 41</v>
      </c>
      <c r="G47" s="9" t="s">
        <v>163</v>
      </c>
      <c r="H47" s="9" t="s">
        <v>66</v>
      </c>
      <c r="I47" s="19">
        <v>1500000</v>
      </c>
      <c r="J47" s="9" t="str">
        <f t="shared" ca="1" si="4"/>
        <v>transtype3</v>
      </c>
      <c r="K47" s="9" t="s">
        <v>11</v>
      </c>
      <c r="L47" s="9" t="s">
        <v>168</v>
      </c>
      <c r="M47" s="9" t="s">
        <v>167</v>
      </c>
      <c r="N47" s="9" t="str">
        <f t="shared" si="5"/>
        <v>UserB1K29A2XRT</v>
      </c>
      <c r="O47" s="9" t="str">
        <f t="shared" ca="1" si="6"/>
        <v>Thanh toán mua C</v>
      </c>
      <c r="P47" s="18" t="str">
        <f t="shared" ca="1" si="7"/>
        <v>14828 VND</v>
      </c>
      <c r="Q47" s="21">
        <v>45931</v>
      </c>
      <c r="R47" s="21">
        <v>45931.482233796298</v>
      </c>
      <c r="S47" s="21">
        <v>45931.482233796298</v>
      </c>
      <c r="T47" s="4"/>
    </row>
    <row r="48" spans="1:20" ht="14.5" x14ac:dyDescent="0.35">
      <c r="A48" s="9" t="str">
        <f t="shared" ca="1" si="0"/>
        <v>Bank 2</v>
      </c>
      <c r="B48" s="9" t="s">
        <v>129</v>
      </c>
      <c r="C48" s="17" t="s">
        <v>101</v>
      </c>
      <c r="D48" s="9" t="str">
        <f t="shared" ca="1" si="1"/>
        <v>ZLPPBHLYQ7QQ6</v>
      </c>
      <c r="E48" s="9" t="str">
        <f t="shared" ca="1" si="2"/>
        <v>506425932229837</v>
      </c>
      <c r="F48" s="9" t="str">
        <f t="shared" ca="1" si="3"/>
        <v>App ID 13</v>
      </c>
      <c r="G48" s="9" t="s">
        <v>164</v>
      </c>
      <c r="H48" s="9" t="s">
        <v>67</v>
      </c>
      <c r="I48" s="19">
        <v>500000</v>
      </c>
      <c r="J48" s="9" t="str">
        <f t="shared" ca="1" si="4"/>
        <v>transtype1</v>
      </c>
      <c r="K48" s="9" t="s">
        <v>11</v>
      </c>
      <c r="L48" s="9" t="s">
        <v>168</v>
      </c>
      <c r="M48" s="9" t="s">
        <v>167</v>
      </c>
      <c r="N48" s="9" t="str">
        <f t="shared" si="5"/>
        <v>UserM7EE4WHBZ2</v>
      </c>
      <c r="O48" s="9" t="str">
        <f t="shared" ca="1" si="6"/>
        <v>Thanh toán mua C</v>
      </c>
      <c r="P48" s="18" t="str">
        <f t="shared" ca="1" si="7"/>
        <v>82072 VND</v>
      </c>
      <c r="Q48" s="21">
        <v>45931</v>
      </c>
      <c r="R48" s="21">
        <v>45931.482233796298</v>
      </c>
      <c r="S48" s="21">
        <v>45931.482233796298</v>
      </c>
      <c r="T48" s="4"/>
    </row>
    <row r="49" spans="1:19" ht="28.5" x14ac:dyDescent="0.35">
      <c r="A49" s="9" t="str">
        <f t="shared" ca="1" si="0"/>
        <v>Bank 1</v>
      </c>
      <c r="B49" s="9" t="s">
        <v>130</v>
      </c>
      <c r="C49" s="17" t="s">
        <v>102</v>
      </c>
      <c r="D49" s="9" t="str">
        <f t="shared" ca="1" si="1"/>
        <v>ZLPWU6AWJFTZ2</v>
      </c>
      <c r="E49" s="9" t="str">
        <f t="shared" ca="1" si="2"/>
        <v>174684330846334</v>
      </c>
      <c r="F49" s="9" t="str">
        <f t="shared" ca="1" si="3"/>
        <v>App ID 61</v>
      </c>
      <c r="G49" s="9" t="s">
        <v>165</v>
      </c>
      <c r="H49" s="9" t="s">
        <v>68</v>
      </c>
      <c r="I49" s="19">
        <v>1500000</v>
      </c>
      <c r="J49" s="9" t="str">
        <f t="shared" ca="1" si="4"/>
        <v>transtype1</v>
      </c>
      <c r="K49" s="9" t="s">
        <v>21</v>
      </c>
      <c r="L49" s="9" t="s">
        <v>168</v>
      </c>
      <c r="M49" s="9" t="s">
        <v>167</v>
      </c>
      <c r="N49" s="9" t="str">
        <f t="shared" si="5"/>
        <v>User2I93PFXB9S</v>
      </c>
      <c r="O49" s="9" t="str">
        <f t="shared" ca="1" si="6"/>
        <v>Thanh toán mua C</v>
      </c>
      <c r="P49" s="18" t="str">
        <f t="shared" ca="1" si="7"/>
        <v>28429 VND</v>
      </c>
      <c r="Q49" s="21">
        <v>45931</v>
      </c>
      <c r="R49" s="21">
        <v>45931.482233796298</v>
      </c>
      <c r="S49" s="21">
        <v>45931.482233796298</v>
      </c>
    </row>
    <row r="50" spans="1:19" ht="14.5" x14ac:dyDescent="0.35">
      <c r="A50" s="9" t="str">
        <f t="shared" ca="1" si="0"/>
        <v>Bank 1</v>
      </c>
      <c r="B50" s="9" t="s">
        <v>131</v>
      </c>
      <c r="C50" s="17" t="s">
        <v>103</v>
      </c>
      <c r="D50" s="9" t="str">
        <f t="shared" ca="1" si="1"/>
        <v>ZLP32UNEOKGJO</v>
      </c>
      <c r="E50" s="9" t="str">
        <f t="shared" ca="1" si="2"/>
        <v>733926355937096</v>
      </c>
      <c r="F50" s="9" t="str">
        <f t="shared" ca="1" si="3"/>
        <v>App ID 35</v>
      </c>
      <c r="G50" s="9" t="s">
        <v>166</v>
      </c>
      <c r="H50" s="9" t="s">
        <v>69</v>
      </c>
      <c r="I50" s="19">
        <v>1500000</v>
      </c>
      <c r="J50" s="9" t="str">
        <f t="shared" ca="1" si="4"/>
        <v>transtype2</v>
      </c>
      <c r="K50" s="9" t="s">
        <v>11</v>
      </c>
      <c r="L50" s="9" t="s">
        <v>168</v>
      </c>
      <c r="M50" s="9" t="s">
        <v>167</v>
      </c>
      <c r="N50" s="9" t="str">
        <f t="shared" si="5"/>
        <v>UserWXZWTO51JG</v>
      </c>
      <c r="O50" s="9" t="str">
        <f t="shared" ca="1" si="6"/>
        <v>Thanh toán mua B</v>
      </c>
      <c r="P50" s="18" t="str">
        <f t="shared" ca="1" si="7"/>
        <v>67747 VND</v>
      </c>
      <c r="Q50" s="21">
        <v>45931</v>
      </c>
      <c r="R50" s="21">
        <v>45931.482233796298</v>
      </c>
      <c r="S50" s="21">
        <v>45931.482233796298</v>
      </c>
    </row>
    <row r="51" spans="1:19" ht="14.5" x14ac:dyDescent="0.35">
      <c r="A51" s="9" t="str">
        <f t="shared" ca="1" si="0"/>
        <v>Bank 2</v>
      </c>
      <c r="B51" s="9" t="s">
        <v>131</v>
      </c>
      <c r="C51" s="17" t="s">
        <v>103</v>
      </c>
      <c r="D51" s="9" t="str">
        <f t="shared" ca="1" si="1"/>
        <v>ZLPVSZMN4PP13</v>
      </c>
      <c r="E51" s="9" t="str">
        <f t="shared" ca="1" si="2"/>
        <v>193647369000592</v>
      </c>
      <c r="F51" s="9" t="str">
        <f t="shared" ca="1" si="3"/>
        <v>App ID 59</v>
      </c>
      <c r="G51" s="9" t="s">
        <v>166</v>
      </c>
      <c r="H51" s="9" t="s">
        <v>70</v>
      </c>
      <c r="I51" s="19">
        <v>500000</v>
      </c>
      <c r="J51" s="9" t="str">
        <f t="shared" ca="1" si="4"/>
        <v>transtype3</v>
      </c>
      <c r="K51" s="9" t="s">
        <v>11</v>
      </c>
      <c r="L51" s="9" t="s">
        <v>168</v>
      </c>
      <c r="M51" s="9" t="s">
        <v>167</v>
      </c>
      <c r="N51" s="9" t="str">
        <f t="shared" si="5"/>
        <v>UserWXZWTO51JG</v>
      </c>
      <c r="O51" s="9" t="str">
        <f t="shared" ca="1" si="6"/>
        <v>Thanh toán mua C</v>
      </c>
      <c r="P51" s="18" t="str">
        <f t="shared" ca="1" si="7"/>
        <v>24567 VND</v>
      </c>
      <c r="Q51" s="21">
        <v>45378</v>
      </c>
      <c r="R51" s="21">
        <v>46130.597199074073</v>
      </c>
      <c r="S51" s="21">
        <v>46130.597199074073</v>
      </c>
    </row>
    <row r="52" spans="1:19" ht="14.5" x14ac:dyDescent="0.35">
      <c r="A52" s="9" t="str">
        <f t="shared" ca="1" si="0"/>
        <v>Bank 2</v>
      </c>
      <c r="B52" s="9" t="s">
        <v>131</v>
      </c>
      <c r="C52" s="17" t="s">
        <v>103</v>
      </c>
      <c r="D52" s="9" t="str">
        <f t="shared" ca="1" si="1"/>
        <v>ZLPCO09R4IOS8</v>
      </c>
      <c r="E52" s="9" t="str">
        <f t="shared" ca="1" si="2"/>
        <v>124965908289071</v>
      </c>
      <c r="F52" s="9" t="str">
        <f t="shared" ca="1" si="3"/>
        <v>App ID 71</v>
      </c>
      <c r="G52" s="9" t="s">
        <v>166</v>
      </c>
      <c r="H52" s="9" t="s">
        <v>71</v>
      </c>
      <c r="I52" s="19">
        <v>1500000</v>
      </c>
      <c r="J52" s="9" t="str">
        <f t="shared" ca="1" si="4"/>
        <v>transtype1</v>
      </c>
      <c r="K52" s="9" t="s">
        <v>11</v>
      </c>
      <c r="L52" s="9" t="s">
        <v>168</v>
      </c>
      <c r="M52" s="9" t="s">
        <v>167</v>
      </c>
      <c r="N52" s="9" t="str">
        <f t="shared" si="5"/>
        <v>UserWXZWTO51JG</v>
      </c>
      <c r="O52" s="9" t="str">
        <f t="shared" ca="1" si="6"/>
        <v>Thanh toán mua B</v>
      </c>
      <c r="P52" s="18" t="str">
        <f t="shared" ca="1" si="7"/>
        <v>27281 VND</v>
      </c>
      <c r="Q52" s="21">
        <v>45378</v>
      </c>
      <c r="R52" s="21">
        <v>46130.597199074073</v>
      </c>
      <c r="S52" s="21">
        <v>46130.597199074073</v>
      </c>
    </row>
    <row r="53" spans="1:19" ht="14.5" x14ac:dyDescent="0.35">
      <c r="A53" s="9" t="str">
        <f t="shared" ca="1" si="0"/>
        <v>Bank 1</v>
      </c>
      <c r="B53" s="9" t="s">
        <v>131</v>
      </c>
      <c r="C53" s="17" t="s">
        <v>103</v>
      </c>
      <c r="D53" s="9" t="str">
        <f t="shared" ca="1" si="1"/>
        <v>ZLP22MGIXVHAQ</v>
      </c>
      <c r="E53" s="9" t="str">
        <f t="shared" ca="1" si="2"/>
        <v>140864479674509</v>
      </c>
      <c r="F53" s="9" t="str">
        <f t="shared" ca="1" si="3"/>
        <v>App ID 77</v>
      </c>
      <c r="G53" s="9" t="s">
        <v>166</v>
      </c>
      <c r="H53" s="9" t="s">
        <v>72</v>
      </c>
      <c r="I53" s="19">
        <v>1500000</v>
      </c>
      <c r="J53" s="9" t="str">
        <f t="shared" ca="1" si="4"/>
        <v>transtype2</v>
      </c>
      <c r="K53" s="9" t="s">
        <v>11</v>
      </c>
      <c r="L53" s="9" t="s">
        <v>168</v>
      </c>
      <c r="M53" s="9" t="s">
        <v>167</v>
      </c>
      <c r="N53" s="9" t="str">
        <f t="shared" si="5"/>
        <v>UserWXZWTO51JG</v>
      </c>
      <c r="O53" s="9" t="str">
        <f t="shared" ca="1" si="6"/>
        <v>Thanh toán mua C</v>
      </c>
      <c r="P53" s="18" t="str">
        <f t="shared" ca="1" si="7"/>
        <v>74792 VND</v>
      </c>
      <c r="Q53" s="21">
        <v>45378</v>
      </c>
      <c r="R53" s="21">
        <v>46130.597199074073</v>
      </c>
      <c r="S53" s="21">
        <v>46130.597199074073</v>
      </c>
    </row>
    <row r="54" spans="1:19" ht="14.5" x14ac:dyDescent="0.35">
      <c r="A54" s="9" t="str">
        <f t="shared" ca="1" si="0"/>
        <v>Bank 3</v>
      </c>
      <c r="B54" s="9" t="s">
        <v>131</v>
      </c>
      <c r="C54" s="17" t="s">
        <v>103</v>
      </c>
      <c r="D54" s="9" t="str">
        <f t="shared" ca="1" si="1"/>
        <v>ZLPRYAWNZDMYD</v>
      </c>
      <c r="E54" s="9" t="str">
        <f t="shared" ca="1" si="2"/>
        <v>417907556634510</v>
      </c>
      <c r="F54" s="9" t="str">
        <f t="shared" ca="1" si="3"/>
        <v>App ID 35</v>
      </c>
      <c r="G54" s="9" t="s">
        <v>166</v>
      </c>
      <c r="H54" s="9" t="s">
        <v>73</v>
      </c>
      <c r="I54" s="19">
        <v>1500000</v>
      </c>
      <c r="J54" s="9" t="str">
        <f t="shared" ca="1" si="4"/>
        <v>transtype2</v>
      </c>
      <c r="K54" s="9" t="s">
        <v>11</v>
      </c>
      <c r="L54" s="9" t="s">
        <v>168</v>
      </c>
      <c r="M54" s="9" t="s">
        <v>167</v>
      </c>
      <c r="N54" s="9" t="str">
        <f t="shared" si="5"/>
        <v>UserWXZWTO51JG</v>
      </c>
      <c r="O54" s="9" t="str">
        <f t="shared" ca="1" si="6"/>
        <v>Thanh toán mua C</v>
      </c>
      <c r="P54" s="18" t="str">
        <f t="shared" ca="1" si="7"/>
        <v>86181 VND</v>
      </c>
      <c r="Q54" s="21">
        <v>45378</v>
      </c>
      <c r="R54" s="21">
        <v>46130.597199074073</v>
      </c>
      <c r="S54" s="21">
        <v>46130.597199074073</v>
      </c>
    </row>
    <row r="55" spans="1:19" ht="14.5" x14ac:dyDescent="0.35">
      <c r="A55" s="9" t="str">
        <f t="shared" ca="1" si="0"/>
        <v>Bank 2</v>
      </c>
      <c r="B55" s="9" t="s">
        <v>131</v>
      </c>
      <c r="C55" s="17" t="s">
        <v>103</v>
      </c>
      <c r="D55" s="9" t="str">
        <f t="shared" ca="1" si="1"/>
        <v>ZLP9VAP5HP586</v>
      </c>
      <c r="E55" s="9" t="str">
        <f t="shared" ca="1" si="2"/>
        <v>233547473655538</v>
      </c>
      <c r="F55" s="9" t="str">
        <f t="shared" ca="1" si="3"/>
        <v>App ID 23</v>
      </c>
      <c r="G55" s="9" t="s">
        <v>166</v>
      </c>
      <c r="H55" s="9" t="s">
        <v>74</v>
      </c>
      <c r="I55" s="19">
        <v>2000000</v>
      </c>
      <c r="J55" s="9" t="str">
        <f t="shared" ca="1" si="4"/>
        <v>transtype1</v>
      </c>
      <c r="K55" s="9" t="s">
        <v>11</v>
      </c>
      <c r="L55" s="9" t="s">
        <v>168</v>
      </c>
      <c r="M55" s="9" t="s">
        <v>167</v>
      </c>
      <c r="N55" s="9" t="str">
        <f t="shared" si="5"/>
        <v>UserWXZWTO51JG</v>
      </c>
      <c r="O55" s="9" t="str">
        <f t="shared" ca="1" si="6"/>
        <v>Thanh toán mua A</v>
      </c>
      <c r="P55" s="18" t="str">
        <f t="shared" ca="1" si="7"/>
        <v>41840 VND</v>
      </c>
      <c r="Q55" s="21">
        <v>45378</v>
      </c>
      <c r="R55" s="21">
        <v>46130.597199074073</v>
      </c>
      <c r="S55" s="21">
        <v>46130.597199074073</v>
      </c>
    </row>
    <row r="56" spans="1:19" ht="14.5" x14ac:dyDescent="0.35">
      <c r="A56" s="9" t="str">
        <f t="shared" ca="1" si="0"/>
        <v>Bank 2</v>
      </c>
      <c r="B56" s="9" t="s">
        <v>131</v>
      </c>
      <c r="C56" s="17" t="s">
        <v>103</v>
      </c>
      <c r="D56" s="9" t="str">
        <f t="shared" ca="1" si="1"/>
        <v>ZLPDDHYLCI2RG</v>
      </c>
      <c r="E56" s="9" t="str">
        <f t="shared" ca="1" si="2"/>
        <v>253263723479210</v>
      </c>
      <c r="F56" s="9" t="str">
        <f t="shared" ca="1" si="3"/>
        <v>App ID 47</v>
      </c>
      <c r="G56" s="9" t="s">
        <v>166</v>
      </c>
      <c r="H56" s="9" t="s">
        <v>75</v>
      </c>
      <c r="I56" s="19">
        <v>2000000</v>
      </c>
      <c r="J56" s="9" t="str">
        <f t="shared" ca="1" si="4"/>
        <v>transtype1</v>
      </c>
      <c r="K56" s="9" t="s">
        <v>11</v>
      </c>
      <c r="L56" s="9" t="s">
        <v>168</v>
      </c>
      <c r="M56" s="9" t="s">
        <v>167</v>
      </c>
      <c r="N56" s="9" t="str">
        <f t="shared" si="5"/>
        <v>UserWXZWTO51JG</v>
      </c>
      <c r="O56" s="9" t="str">
        <f t="shared" ca="1" si="6"/>
        <v>Thanh toán mua A</v>
      </c>
      <c r="P56" s="18" t="str">
        <f t="shared" ca="1" si="7"/>
        <v>84925 VND</v>
      </c>
      <c r="Q56" s="21">
        <v>45378</v>
      </c>
      <c r="R56" s="21">
        <v>46130.597199074073</v>
      </c>
      <c r="S56" s="21">
        <v>46130.597199074073</v>
      </c>
    </row>
    <row r="57" spans="1:19" ht="14.5" x14ac:dyDescent="0.35">
      <c r="A57" s="6"/>
      <c r="B57" s="6"/>
      <c r="C57" s="7"/>
      <c r="D57" s="6"/>
      <c r="E57" s="6"/>
      <c r="F57" s="6"/>
      <c r="G57" s="6"/>
      <c r="H57" s="6"/>
      <c r="I57" s="19"/>
      <c r="J57" s="6"/>
      <c r="K57" s="6"/>
      <c r="L57" s="6"/>
      <c r="M57" s="6"/>
      <c r="N57" s="6"/>
      <c r="O57" s="6"/>
      <c r="P57" s="12"/>
      <c r="Q57" s="21"/>
      <c r="R57" s="21"/>
      <c r="S57" s="21"/>
    </row>
    <row r="58" spans="1:19" ht="14.5" x14ac:dyDescent="0.35">
      <c r="A58" s="6"/>
      <c r="B58" s="9"/>
      <c r="C58" s="7"/>
      <c r="D58" s="6"/>
      <c r="E58" s="6"/>
      <c r="F58" s="6"/>
      <c r="G58" s="6"/>
      <c r="H58" s="6"/>
      <c r="I58" s="19"/>
      <c r="J58" s="6"/>
      <c r="K58" s="6"/>
      <c r="L58" s="6"/>
      <c r="M58" s="6"/>
      <c r="N58" s="6"/>
      <c r="O58" s="6"/>
      <c r="P58" s="12"/>
      <c r="Q58" s="21"/>
      <c r="R58" s="21"/>
      <c r="S58" s="21"/>
    </row>
    <row r="59" spans="1:19" ht="14.5" x14ac:dyDescent="0.35">
      <c r="A59" s="6"/>
      <c r="B59" s="6"/>
      <c r="C59" s="7"/>
      <c r="D59" s="6"/>
      <c r="E59" s="6"/>
      <c r="F59" s="6"/>
      <c r="G59" s="6"/>
      <c r="H59" s="6"/>
      <c r="I59" s="19"/>
      <c r="J59" s="6"/>
      <c r="K59" s="6"/>
      <c r="L59" s="6"/>
      <c r="M59" s="6"/>
      <c r="N59" s="6"/>
      <c r="O59" s="6"/>
      <c r="P59" s="12"/>
      <c r="Q59" s="21"/>
      <c r="R59" s="21"/>
      <c r="S59" s="21"/>
    </row>
    <row r="60" spans="1:19" ht="14.5" x14ac:dyDescent="0.35">
      <c r="A60" s="6"/>
      <c r="B60" s="6"/>
      <c r="C60" s="7"/>
      <c r="D60" s="6"/>
      <c r="E60" s="6"/>
      <c r="F60" s="6"/>
      <c r="G60" s="6"/>
      <c r="H60" s="6"/>
      <c r="I60" s="19"/>
      <c r="J60" s="6"/>
      <c r="K60" s="6"/>
      <c r="L60" s="6"/>
      <c r="M60" s="6"/>
      <c r="N60" s="6"/>
      <c r="O60" s="6"/>
      <c r="P60" s="12"/>
      <c r="Q60" s="21"/>
      <c r="R60" s="21"/>
      <c r="S60" s="21"/>
    </row>
    <row r="61" spans="1:19" ht="14.5" x14ac:dyDescent="0.35">
      <c r="A61" s="6"/>
      <c r="B61" s="6"/>
      <c r="C61" s="7"/>
      <c r="D61" s="6"/>
      <c r="E61" s="6"/>
      <c r="F61" s="6"/>
      <c r="G61" s="6"/>
      <c r="H61" s="6"/>
      <c r="I61" s="19"/>
      <c r="J61" s="6"/>
      <c r="K61" s="6"/>
      <c r="L61" s="6"/>
      <c r="M61" s="6"/>
      <c r="N61" s="6"/>
      <c r="O61" s="6"/>
      <c r="P61" s="12"/>
      <c r="Q61" s="21"/>
      <c r="R61" s="21"/>
      <c r="S61" s="21"/>
    </row>
    <row r="62" spans="1:19" ht="14.5" x14ac:dyDescent="0.35">
      <c r="A62" s="6"/>
      <c r="B62" s="6"/>
      <c r="C62" s="7"/>
      <c r="D62" s="6"/>
      <c r="E62" s="6"/>
      <c r="F62" s="6"/>
      <c r="G62" s="6"/>
      <c r="H62" s="6"/>
      <c r="I62" s="19"/>
      <c r="J62" s="6"/>
      <c r="K62" s="6"/>
      <c r="L62" s="6"/>
      <c r="M62" s="6"/>
      <c r="N62" s="6"/>
      <c r="O62" s="6"/>
      <c r="P62" s="12"/>
      <c r="Q62" s="21"/>
      <c r="R62" s="21"/>
      <c r="S62" s="21"/>
    </row>
    <row r="63" spans="1:19" ht="14.5" x14ac:dyDescent="0.35">
      <c r="A63" s="6"/>
      <c r="B63" s="6"/>
      <c r="C63" s="7"/>
      <c r="D63" s="6"/>
      <c r="E63" s="6"/>
      <c r="F63" s="6"/>
      <c r="G63" s="6"/>
      <c r="H63" s="6"/>
      <c r="I63" s="19"/>
      <c r="J63" s="6"/>
      <c r="K63" s="6"/>
      <c r="L63" s="6"/>
      <c r="M63" s="6"/>
      <c r="N63" s="6"/>
      <c r="O63" s="6"/>
      <c r="P63" s="12"/>
      <c r="Q63" s="21"/>
      <c r="R63" s="21"/>
      <c r="S63" s="21"/>
    </row>
    <row r="64" spans="1:19" ht="14.5" x14ac:dyDescent="0.35">
      <c r="A64" s="6"/>
      <c r="B64" s="6"/>
      <c r="C64" s="7"/>
      <c r="D64" s="6"/>
      <c r="E64" s="6"/>
      <c r="F64" s="6"/>
      <c r="G64" s="6"/>
      <c r="H64" s="6"/>
      <c r="I64" s="19"/>
      <c r="J64" s="6"/>
      <c r="K64" s="6"/>
      <c r="L64" s="6"/>
      <c r="M64" s="6"/>
      <c r="N64" s="6"/>
      <c r="O64" s="6"/>
      <c r="P64" s="12"/>
      <c r="Q64" s="21"/>
      <c r="R64" s="21"/>
      <c r="S64" s="21"/>
    </row>
    <row r="65" spans="1:19" x14ac:dyDescent="0.3">
      <c r="A65" s="6"/>
      <c r="B65" s="6"/>
      <c r="C65" s="7"/>
      <c r="D65" s="6"/>
      <c r="E65" s="6"/>
      <c r="F65" s="6"/>
      <c r="G65" s="6"/>
      <c r="H65" s="6"/>
      <c r="I65" s="19"/>
      <c r="J65" s="6"/>
      <c r="K65" s="6"/>
      <c r="L65" s="6"/>
      <c r="M65" s="6"/>
      <c r="N65" s="6"/>
      <c r="O65" s="6"/>
      <c r="Q65" s="21"/>
      <c r="R65" s="21"/>
      <c r="S65" s="21"/>
    </row>
    <row r="66" spans="1:19" x14ac:dyDescent="0.3">
      <c r="A66" s="6"/>
      <c r="B66" s="6"/>
      <c r="C66" s="7"/>
      <c r="D66" s="6"/>
      <c r="E66" s="6"/>
      <c r="F66" s="6"/>
      <c r="G66" s="6"/>
      <c r="H66" s="6"/>
      <c r="I66" s="19"/>
      <c r="J66" s="6"/>
      <c r="K66" s="6"/>
      <c r="L66" s="6"/>
      <c r="M66" s="6"/>
      <c r="N66" s="6"/>
      <c r="O66" s="6"/>
      <c r="Q66" s="21"/>
      <c r="R66" s="21"/>
      <c r="S66" s="21"/>
    </row>
    <row r="67" spans="1:19" x14ac:dyDescent="0.3">
      <c r="A67" s="6"/>
      <c r="B67" s="6"/>
      <c r="C67" s="7"/>
      <c r="D67" s="6"/>
      <c r="E67" s="6"/>
      <c r="F67" s="6"/>
      <c r="G67" s="6"/>
      <c r="H67" s="6"/>
      <c r="I67" s="19"/>
      <c r="J67" s="6"/>
      <c r="K67" s="6"/>
      <c r="L67" s="6"/>
      <c r="M67" s="6"/>
      <c r="N67" s="6"/>
      <c r="O67" s="6"/>
      <c r="Q67" s="21"/>
      <c r="R67" s="21"/>
      <c r="S67" s="21"/>
    </row>
    <row r="68" spans="1:19" x14ac:dyDescent="0.3">
      <c r="A68" s="6"/>
      <c r="B68" s="6"/>
      <c r="C68" s="7"/>
      <c r="D68" s="6"/>
      <c r="E68" s="6"/>
      <c r="F68" s="6"/>
      <c r="G68" s="6"/>
      <c r="H68" s="6"/>
      <c r="I68" s="19"/>
      <c r="J68" s="6"/>
      <c r="K68" s="6"/>
      <c r="L68" s="6"/>
      <c r="M68" s="6"/>
      <c r="N68" s="6"/>
      <c r="O68" s="6"/>
      <c r="Q68" s="21"/>
      <c r="R68" s="21"/>
      <c r="S68" s="21"/>
    </row>
    <row r="69" spans="1:19" x14ac:dyDescent="0.3">
      <c r="A69" s="6"/>
      <c r="B69" s="6"/>
      <c r="C69" s="7"/>
      <c r="D69" s="6"/>
      <c r="E69" s="6"/>
      <c r="F69" s="6"/>
      <c r="G69" s="6"/>
      <c r="H69" s="6"/>
      <c r="I69" s="19"/>
      <c r="J69" s="6"/>
      <c r="K69" s="6"/>
      <c r="L69" s="6"/>
      <c r="M69" s="6"/>
      <c r="N69" s="6"/>
      <c r="O69" s="6"/>
      <c r="Q69" s="21"/>
      <c r="R69" s="21"/>
      <c r="S69" s="21"/>
    </row>
    <row r="70" spans="1:19" x14ac:dyDescent="0.3">
      <c r="A70" s="6"/>
      <c r="B70" s="6"/>
      <c r="C70" s="7"/>
      <c r="D70" s="6"/>
      <c r="E70" s="6"/>
      <c r="F70" s="6"/>
      <c r="G70" s="6"/>
      <c r="H70" s="6"/>
      <c r="I70" s="19"/>
      <c r="J70" s="6"/>
      <c r="K70" s="6"/>
      <c r="L70" s="6"/>
      <c r="M70" s="6"/>
      <c r="N70" s="6"/>
      <c r="O70" s="6"/>
      <c r="Q70" s="21"/>
      <c r="R70" s="21"/>
      <c r="S70" s="21"/>
    </row>
    <row r="71" spans="1:19" x14ac:dyDescent="0.3">
      <c r="A71" s="6"/>
      <c r="B71" s="6"/>
      <c r="C71" s="7"/>
      <c r="D71" s="6"/>
      <c r="E71" s="6"/>
      <c r="F71" s="6"/>
      <c r="G71" s="6"/>
      <c r="H71" s="6"/>
      <c r="I71" s="19"/>
      <c r="J71" s="6"/>
      <c r="K71" s="6"/>
      <c r="L71" s="6"/>
      <c r="M71" s="6"/>
      <c r="N71" s="6"/>
      <c r="O71" s="6"/>
      <c r="Q71" s="21"/>
      <c r="R71" s="21"/>
      <c r="S71" s="21"/>
    </row>
    <row r="72" spans="1:19" x14ac:dyDescent="0.3">
      <c r="A72" s="6"/>
      <c r="B72" s="6"/>
      <c r="C72" s="7"/>
      <c r="D72" s="6"/>
      <c r="E72" s="6"/>
      <c r="F72" s="6"/>
      <c r="G72" s="6"/>
      <c r="H72" s="6"/>
      <c r="I72" s="19"/>
      <c r="J72" s="6"/>
      <c r="K72" s="6"/>
      <c r="L72" s="6"/>
      <c r="M72" s="6"/>
      <c r="N72" s="6"/>
      <c r="O72" s="6"/>
      <c r="Q72" s="21"/>
      <c r="R72" s="21"/>
      <c r="S72" s="21"/>
    </row>
    <row r="73" spans="1:19" x14ac:dyDescent="0.3">
      <c r="A73" s="6"/>
      <c r="B73" s="6"/>
      <c r="C73" s="7"/>
      <c r="D73" s="6"/>
      <c r="E73" s="6"/>
      <c r="F73" s="6"/>
      <c r="G73" s="6"/>
      <c r="H73" s="6"/>
      <c r="I73" s="19"/>
      <c r="J73" s="6"/>
      <c r="K73" s="6"/>
      <c r="L73" s="6"/>
      <c r="M73" s="6"/>
      <c r="N73" s="6"/>
      <c r="O73" s="6"/>
      <c r="Q73" s="21"/>
      <c r="R73" s="21"/>
      <c r="S73" s="21"/>
    </row>
    <row r="74" spans="1:19" x14ac:dyDescent="0.3">
      <c r="A74" s="6"/>
      <c r="B74" s="6"/>
      <c r="C74" s="7"/>
      <c r="D74" s="6"/>
      <c r="E74" s="6"/>
      <c r="F74" s="6"/>
      <c r="G74" s="6"/>
      <c r="H74" s="6"/>
      <c r="I74" s="19"/>
      <c r="J74" s="6"/>
      <c r="K74" s="6"/>
      <c r="L74" s="6"/>
      <c r="M74" s="6"/>
      <c r="N74" s="6"/>
      <c r="O74" s="6"/>
      <c r="Q74" s="21"/>
      <c r="R74" s="21"/>
      <c r="S74" s="21"/>
    </row>
    <row r="75" spans="1:19" x14ac:dyDescent="0.3">
      <c r="A75" s="6"/>
      <c r="B75" s="6"/>
      <c r="C75" s="7"/>
      <c r="D75" s="6"/>
      <c r="E75" s="6"/>
      <c r="F75" s="6"/>
      <c r="G75" s="6"/>
      <c r="H75" s="6"/>
      <c r="I75" s="19"/>
      <c r="J75" s="6"/>
      <c r="K75" s="6"/>
      <c r="L75" s="6"/>
      <c r="M75" s="6"/>
      <c r="N75" s="6"/>
      <c r="O75" s="6"/>
      <c r="Q75" s="21"/>
      <c r="R75" s="21"/>
      <c r="S75" s="21"/>
    </row>
    <row r="76" spans="1:19" x14ac:dyDescent="0.3">
      <c r="A76" s="6"/>
      <c r="B76" s="6"/>
      <c r="C76" s="7"/>
      <c r="D76" s="6"/>
      <c r="E76" s="6"/>
      <c r="F76" s="6"/>
      <c r="G76" s="6"/>
      <c r="H76" s="6"/>
      <c r="I76" s="8"/>
      <c r="J76" s="6"/>
      <c r="K76" s="6"/>
      <c r="L76" s="6"/>
      <c r="M76" s="6"/>
      <c r="N76" s="6"/>
      <c r="O76" s="6"/>
      <c r="Q76" s="21"/>
      <c r="R76" s="21"/>
      <c r="S76" s="21"/>
    </row>
    <row r="77" spans="1:19" x14ac:dyDescent="0.3">
      <c r="A77" s="6"/>
      <c r="B77" s="6"/>
      <c r="C77" s="7"/>
      <c r="D77" s="6"/>
      <c r="E77" s="6"/>
      <c r="F77" s="6"/>
      <c r="G77" s="6"/>
      <c r="H77" s="6"/>
      <c r="I77" s="8"/>
      <c r="J77" s="6"/>
      <c r="K77" s="6"/>
      <c r="L77" s="6"/>
      <c r="M77" s="6"/>
      <c r="N77" s="6"/>
      <c r="O77" s="6"/>
      <c r="Q77" s="21"/>
      <c r="R77" s="21"/>
      <c r="S77" s="21"/>
    </row>
    <row r="78" spans="1:19" x14ac:dyDescent="0.3">
      <c r="A78" s="6"/>
      <c r="B78" s="6"/>
      <c r="C78" s="7"/>
      <c r="D78" s="6"/>
      <c r="E78" s="6"/>
      <c r="F78" s="6"/>
      <c r="G78" s="6"/>
      <c r="H78" s="6"/>
      <c r="I78" s="8"/>
      <c r="J78" s="6"/>
      <c r="K78" s="6"/>
      <c r="L78" s="6"/>
      <c r="M78" s="6"/>
      <c r="N78" s="6"/>
      <c r="O78" s="6"/>
    </row>
    <row r="79" spans="1:19" x14ac:dyDescent="0.3">
      <c r="A79" s="6"/>
      <c r="B79" s="6"/>
      <c r="C79" s="7"/>
      <c r="D79" s="6"/>
      <c r="E79" s="6"/>
      <c r="F79" s="6"/>
      <c r="G79" s="6"/>
      <c r="H79" s="6"/>
      <c r="I79" s="8"/>
      <c r="J79" s="6"/>
      <c r="K79" s="6"/>
      <c r="L79" s="6"/>
      <c r="M79" s="6"/>
      <c r="N79" s="6"/>
      <c r="O79" s="6"/>
    </row>
    <row r="80" spans="1:19" x14ac:dyDescent="0.3">
      <c r="A80" s="6"/>
      <c r="B80" s="9"/>
      <c r="C80" s="7"/>
      <c r="D80" s="6"/>
      <c r="E80" s="6"/>
      <c r="F80" s="6"/>
      <c r="G80" s="6"/>
      <c r="H80" s="6"/>
      <c r="I80" s="8"/>
      <c r="J80" s="6"/>
      <c r="K80" s="6"/>
      <c r="L80" s="6"/>
      <c r="M80" s="6"/>
      <c r="N80" s="6"/>
      <c r="O80" s="6"/>
    </row>
    <row r="81" spans="1:15" x14ac:dyDescent="0.3">
      <c r="A81" s="6"/>
      <c r="B81" s="9"/>
      <c r="C81" s="7"/>
      <c r="D81" s="6"/>
      <c r="E81" s="6"/>
      <c r="F81" s="6"/>
      <c r="G81" s="6"/>
      <c r="H81" s="6"/>
      <c r="I81" s="8"/>
      <c r="J81" s="6"/>
      <c r="K81" s="6"/>
      <c r="L81" s="6"/>
      <c r="M81" s="6"/>
      <c r="N81" s="6"/>
      <c r="O81" s="6"/>
    </row>
    <row r="82" spans="1:15" x14ac:dyDescent="0.3">
      <c r="A82" s="6"/>
      <c r="B82" s="9"/>
      <c r="C82" s="7"/>
      <c r="D82" s="6"/>
      <c r="E82" s="6"/>
      <c r="F82" s="6"/>
      <c r="G82" s="6"/>
      <c r="H82" s="6"/>
      <c r="I82" s="8"/>
      <c r="J82" s="6"/>
      <c r="K82" s="6"/>
      <c r="L82" s="6"/>
      <c r="M82" s="6"/>
      <c r="N82" s="6"/>
      <c r="O82" s="6"/>
    </row>
    <row r="83" spans="1:15" x14ac:dyDescent="0.3">
      <c r="A83" s="6"/>
      <c r="B83" s="6"/>
      <c r="C83" s="7"/>
      <c r="D83" s="6"/>
      <c r="E83" s="6"/>
      <c r="F83" s="6"/>
      <c r="G83" s="6"/>
      <c r="H83" s="6"/>
      <c r="I83" s="8"/>
      <c r="J83" s="6"/>
      <c r="K83" s="6"/>
      <c r="L83" s="6"/>
      <c r="M83" s="6"/>
      <c r="N83" s="6"/>
      <c r="O83" s="6"/>
    </row>
    <row r="84" spans="1:15" x14ac:dyDescent="0.3">
      <c r="A84" s="6"/>
      <c r="B84" s="9"/>
      <c r="C84" s="7"/>
      <c r="D84" s="6"/>
      <c r="E84" s="6"/>
      <c r="F84" s="6"/>
      <c r="G84" s="6"/>
      <c r="H84" s="6"/>
      <c r="I84" s="8"/>
      <c r="J84" s="6"/>
      <c r="K84" s="6"/>
      <c r="L84" s="6"/>
      <c r="M84" s="6"/>
      <c r="N84" s="6"/>
      <c r="O84" s="6"/>
    </row>
    <row r="85" spans="1:15" x14ac:dyDescent="0.3">
      <c r="A85" s="6"/>
      <c r="B85" s="9"/>
      <c r="C85" s="7"/>
      <c r="D85" s="6"/>
      <c r="E85" s="6"/>
      <c r="F85" s="6"/>
      <c r="G85" s="6"/>
      <c r="H85" s="6"/>
      <c r="I85" s="8"/>
      <c r="J85" s="6"/>
      <c r="K85" s="6"/>
      <c r="L85" s="6"/>
      <c r="M85" s="6"/>
      <c r="N85" s="6"/>
      <c r="O85" s="6"/>
    </row>
    <row r="86" spans="1:15" x14ac:dyDescent="0.3">
      <c r="A86" s="6"/>
      <c r="B86" s="9"/>
      <c r="C86" s="7"/>
      <c r="D86" s="6"/>
      <c r="E86" s="6"/>
      <c r="F86" s="6"/>
      <c r="G86" s="6"/>
      <c r="H86" s="6"/>
      <c r="I86" s="8"/>
      <c r="J86" s="6"/>
      <c r="K86" s="6"/>
      <c r="L86" s="6"/>
      <c r="M86" s="6"/>
      <c r="N86" s="6"/>
      <c r="O86" s="6"/>
    </row>
    <row r="87" spans="1:15" x14ac:dyDescent="0.3">
      <c r="A87" s="6"/>
      <c r="B87" s="9"/>
      <c r="C87" s="7"/>
      <c r="D87" s="6"/>
      <c r="E87" s="6"/>
      <c r="F87" s="6"/>
      <c r="G87" s="6"/>
      <c r="H87" s="6"/>
      <c r="I87" s="8"/>
      <c r="J87" s="6"/>
      <c r="K87" s="6"/>
      <c r="L87" s="6"/>
      <c r="M87" s="6"/>
      <c r="N87" s="6"/>
      <c r="O87" s="6"/>
    </row>
    <row r="88" spans="1:15" x14ac:dyDescent="0.3">
      <c r="A88" s="6"/>
      <c r="B88" s="9"/>
      <c r="C88" s="7"/>
      <c r="D88" s="6"/>
      <c r="E88" s="6"/>
      <c r="F88" s="6"/>
      <c r="G88" s="6"/>
      <c r="H88" s="6"/>
      <c r="I88" s="8"/>
      <c r="J88" s="6"/>
      <c r="K88" s="6"/>
      <c r="L88" s="6"/>
      <c r="M88" s="6"/>
      <c r="N88" s="6"/>
      <c r="O88" s="6"/>
    </row>
    <row r="89" spans="1:15" x14ac:dyDescent="0.3">
      <c r="A89" s="6"/>
      <c r="B89" s="9"/>
      <c r="C89" s="7"/>
      <c r="D89" s="6"/>
      <c r="E89" s="6"/>
      <c r="F89" s="6"/>
      <c r="G89" s="6"/>
      <c r="H89" s="6"/>
      <c r="I89" s="8"/>
      <c r="J89" s="6"/>
      <c r="K89" s="6"/>
      <c r="L89" s="6"/>
      <c r="M89" s="6"/>
      <c r="N89" s="6"/>
      <c r="O89" s="6"/>
    </row>
    <row r="90" spans="1:15" x14ac:dyDescent="0.3">
      <c r="A90" s="6"/>
      <c r="B90" s="9"/>
      <c r="C90" s="7"/>
      <c r="D90" s="6"/>
      <c r="E90" s="6"/>
      <c r="F90" s="6"/>
      <c r="G90" s="6"/>
      <c r="H90" s="6"/>
      <c r="I90" s="8"/>
      <c r="J90" s="6"/>
      <c r="K90" s="6"/>
      <c r="L90" s="6"/>
      <c r="M90" s="6"/>
      <c r="N90" s="6"/>
      <c r="O90" s="6"/>
    </row>
    <row r="91" spans="1:15" x14ac:dyDescent="0.3">
      <c r="A91" s="6"/>
      <c r="B91" s="9"/>
      <c r="C91" s="7"/>
      <c r="D91" s="6"/>
      <c r="E91" s="6"/>
      <c r="F91" s="6"/>
      <c r="G91" s="6"/>
      <c r="H91" s="6"/>
      <c r="I91" s="8"/>
      <c r="J91" s="6"/>
      <c r="K91" s="6"/>
      <c r="L91" s="6"/>
      <c r="M91" s="6"/>
      <c r="N91" s="6"/>
      <c r="O91" s="6"/>
    </row>
    <row r="92" spans="1:15" x14ac:dyDescent="0.3">
      <c r="A92" s="6"/>
      <c r="B92" s="9"/>
      <c r="C92" s="7"/>
      <c r="D92" s="6"/>
      <c r="E92" s="6"/>
      <c r="F92" s="6"/>
      <c r="G92" s="6"/>
      <c r="H92" s="6"/>
      <c r="I92" s="8"/>
      <c r="J92" s="6"/>
      <c r="K92" s="6"/>
      <c r="L92" s="6"/>
      <c r="M92" s="6"/>
      <c r="N92" s="6"/>
      <c r="O92" s="6"/>
    </row>
    <row r="93" spans="1:15" x14ac:dyDescent="0.3">
      <c r="A93" s="6"/>
      <c r="B93" s="6"/>
      <c r="C93" s="7"/>
      <c r="D93" s="6"/>
      <c r="E93" s="6"/>
      <c r="F93" s="6"/>
      <c r="G93" s="6"/>
      <c r="H93" s="6"/>
      <c r="I93" s="8"/>
      <c r="J93" s="6"/>
      <c r="K93" s="6"/>
      <c r="L93" s="6"/>
      <c r="M93" s="6"/>
      <c r="N93" s="6"/>
      <c r="O93" s="6"/>
    </row>
    <row r="94" spans="1:15" x14ac:dyDescent="0.3">
      <c r="A94" s="6"/>
      <c r="B94" s="6"/>
      <c r="C94" s="7"/>
      <c r="D94" s="6"/>
      <c r="E94" s="6"/>
      <c r="F94" s="6"/>
      <c r="G94" s="6"/>
      <c r="H94" s="6"/>
      <c r="I94" s="8"/>
      <c r="J94" s="6"/>
      <c r="K94" s="6"/>
      <c r="L94" s="6"/>
      <c r="M94" s="6"/>
      <c r="N94" s="6"/>
      <c r="O94" s="6"/>
    </row>
    <row r="95" spans="1:15" x14ac:dyDescent="0.3">
      <c r="A95" s="6"/>
      <c r="B95" s="6"/>
      <c r="C95" s="7"/>
      <c r="D95" s="6"/>
      <c r="E95" s="6"/>
      <c r="F95" s="6"/>
      <c r="G95" s="6"/>
      <c r="H95" s="6"/>
      <c r="I95" s="8"/>
      <c r="J95" s="6"/>
      <c r="K95" s="6"/>
      <c r="L95" s="6"/>
      <c r="M95" s="6"/>
      <c r="N95" s="6"/>
      <c r="O95" s="6"/>
    </row>
    <row r="96" spans="1:15" x14ac:dyDescent="0.3">
      <c r="A96" s="6"/>
      <c r="B96" s="6"/>
      <c r="C96" s="7"/>
      <c r="D96" s="6"/>
      <c r="E96" s="6"/>
      <c r="F96" s="6"/>
      <c r="G96" s="6"/>
      <c r="H96" s="6"/>
      <c r="I96" s="8"/>
      <c r="J96" s="6"/>
      <c r="K96" s="6"/>
      <c r="L96" s="6"/>
      <c r="M96" s="6"/>
      <c r="N96" s="6"/>
      <c r="O96" s="6"/>
    </row>
    <row r="97" spans="1:15" x14ac:dyDescent="0.3">
      <c r="A97" s="6"/>
      <c r="B97" s="6"/>
      <c r="C97" s="7"/>
      <c r="D97" s="6"/>
      <c r="E97" s="6"/>
      <c r="F97" s="6"/>
      <c r="G97" s="6"/>
      <c r="H97" s="6"/>
      <c r="I97" s="8"/>
      <c r="J97" s="6"/>
      <c r="K97" s="6"/>
      <c r="L97" s="6"/>
      <c r="M97" s="6"/>
      <c r="N97" s="6"/>
      <c r="O97" s="6"/>
    </row>
    <row r="98" spans="1:15" x14ac:dyDescent="0.3">
      <c r="A98" s="6"/>
      <c r="B98" s="6"/>
      <c r="C98" s="7"/>
      <c r="D98" s="6"/>
      <c r="E98" s="6"/>
      <c r="F98" s="6"/>
      <c r="G98" s="6"/>
      <c r="H98" s="6"/>
      <c r="I98" s="8"/>
      <c r="J98" s="6"/>
      <c r="K98" s="6"/>
      <c r="L98" s="6"/>
      <c r="M98" s="6"/>
      <c r="N98" s="6"/>
      <c r="O98" s="6"/>
    </row>
    <row r="99" spans="1:15" x14ac:dyDescent="0.3">
      <c r="A99" s="6"/>
      <c r="B99" s="6"/>
      <c r="C99" s="7"/>
      <c r="D99" s="6"/>
      <c r="E99" s="6"/>
      <c r="F99" s="6"/>
      <c r="G99" s="6"/>
      <c r="H99" s="6"/>
      <c r="I99" s="8"/>
      <c r="J99" s="6"/>
      <c r="K99" s="6"/>
      <c r="L99" s="6"/>
      <c r="M99" s="6"/>
      <c r="N99" s="6"/>
      <c r="O99" s="6"/>
    </row>
    <row r="100" spans="1:15" x14ac:dyDescent="0.3">
      <c r="A100" s="6"/>
      <c r="B100" s="6"/>
      <c r="C100" s="7"/>
      <c r="D100" s="6"/>
      <c r="E100" s="6"/>
      <c r="F100" s="6"/>
      <c r="G100" s="6"/>
      <c r="H100" s="6"/>
      <c r="I100" s="8"/>
      <c r="J100" s="6"/>
      <c r="K100" s="6"/>
      <c r="L100" s="6"/>
      <c r="M100" s="6"/>
      <c r="N100" s="6"/>
      <c r="O100" s="6"/>
    </row>
    <row r="101" spans="1:15" x14ac:dyDescent="0.3">
      <c r="A101" s="6"/>
      <c r="B101" s="6"/>
      <c r="C101" s="7"/>
      <c r="D101" s="6"/>
      <c r="E101" s="6"/>
      <c r="F101" s="6"/>
      <c r="G101" s="6"/>
      <c r="H101" s="6"/>
      <c r="I101" s="8"/>
      <c r="J101" s="6"/>
      <c r="K101" s="6"/>
      <c r="L101" s="6"/>
      <c r="M101" s="6"/>
      <c r="N101" s="6"/>
      <c r="O101" s="6"/>
    </row>
    <row r="102" spans="1:15" x14ac:dyDescent="0.3">
      <c r="A102" s="6"/>
      <c r="B102" s="6"/>
      <c r="C102" s="7"/>
      <c r="D102" s="6"/>
      <c r="E102" s="6"/>
      <c r="F102" s="6"/>
      <c r="G102" s="6"/>
      <c r="H102" s="6"/>
      <c r="I102" s="8"/>
      <c r="J102" s="6"/>
      <c r="K102" s="6"/>
      <c r="L102" s="6"/>
      <c r="M102" s="6"/>
      <c r="N102" s="6"/>
      <c r="O102" s="6"/>
    </row>
    <row r="103" spans="1:15" x14ac:dyDescent="0.3">
      <c r="A103" s="6"/>
      <c r="B103" s="6"/>
      <c r="C103" s="7"/>
      <c r="D103" s="6"/>
      <c r="E103" s="6"/>
      <c r="F103" s="6"/>
      <c r="G103" s="6"/>
      <c r="H103" s="6"/>
      <c r="I103" s="8"/>
      <c r="J103" s="6"/>
      <c r="K103" s="6"/>
      <c r="L103" s="6"/>
      <c r="M103" s="6"/>
      <c r="N103" s="6"/>
      <c r="O103" s="6"/>
    </row>
    <row r="104" spans="1:15" x14ac:dyDescent="0.3">
      <c r="A104" s="6"/>
      <c r="B104" s="6"/>
      <c r="C104" s="7"/>
      <c r="D104" s="6"/>
      <c r="E104" s="6"/>
      <c r="F104" s="6"/>
      <c r="G104" s="6"/>
      <c r="H104" s="6"/>
      <c r="I104" s="8"/>
      <c r="J104" s="6"/>
      <c r="K104" s="6"/>
      <c r="L104" s="6"/>
      <c r="M104" s="6"/>
      <c r="N104" s="6"/>
      <c r="O104" s="6"/>
    </row>
    <row r="105" spans="1:15" x14ac:dyDescent="0.3">
      <c r="A105" s="6"/>
      <c r="B105" s="6"/>
      <c r="C105" s="7"/>
      <c r="D105" s="6"/>
      <c r="E105" s="6"/>
      <c r="F105" s="6"/>
      <c r="G105" s="6"/>
      <c r="H105" s="6"/>
      <c r="I105" s="8"/>
      <c r="J105" s="6"/>
      <c r="K105" s="6"/>
      <c r="L105" s="6"/>
      <c r="M105" s="6"/>
      <c r="N105" s="6"/>
      <c r="O105" s="6"/>
    </row>
    <row r="106" spans="1:15" x14ac:dyDescent="0.3">
      <c r="A106" s="6"/>
      <c r="B106" s="6"/>
      <c r="C106" s="7"/>
      <c r="D106" s="6"/>
      <c r="E106" s="6"/>
      <c r="F106" s="6"/>
      <c r="G106" s="6"/>
      <c r="H106" s="6"/>
      <c r="I106" s="8"/>
      <c r="J106" s="6"/>
      <c r="K106" s="6"/>
      <c r="L106" s="6"/>
      <c r="M106" s="6"/>
      <c r="N106" s="6"/>
      <c r="O106" s="6"/>
    </row>
    <row r="107" spans="1:15" x14ac:dyDescent="0.3">
      <c r="A107" s="6"/>
      <c r="B107" s="6"/>
      <c r="C107" s="7"/>
      <c r="D107" s="6"/>
      <c r="E107" s="6"/>
      <c r="F107" s="6"/>
      <c r="G107" s="6"/>
      <c r="H107" s="6"/>
      <c r="I107" s="8"/>
      <c r="J107" s="6"/>
      <c r="K107" s="6"/>
      <c r="L107" s="6"/>
      <c r="M107" s="6"/>
      <c r="N107" s="6"/>
      <c r="O107" s="6"/>
    </row>
    <row r="108" spans="1:15" x14ac:dyDescent="0.3">
      <c r="A108" s="6"/>
      <c r="B108" s="6"/>
      <c r="C108" s="7"/>
      <c r="D108" s="6"/>
      <c r="E108" s="6"/>
      <c r="F108" s="6"/>
      <c r="G108" s="6"/>
      <c r="H108" s="6"/>
      <c r="I108" s="8"/>
      <c r="J108" s="6"/>
      <c r="K108" s="6"/>
      <c r="L108" s="6"/>
      <c r="M108" s="6"/>
      <c r="N108" s="6"/>
      <c r="O108" s="6"/>
    </row>
    <row r="109" spans="1:15" x14ac:dyDescent="0.3">
      <c r="A109" s="6"/>
      <c r="B109" s="6"/>
      <c r="C109" s="7"/>
      <c r="D109" s="6"/>
      <c r="E109" s="6"/>
      <c r="F109" s="6"/>
      <c r="G109" s="6"/>
      <c r="H109" s="6"/>
      <c r="I109" s="8"/>
      <c r="J109" s="6"/>
      <c r="K109" s="6"/>
      <c r="L109" s="6"/>
      <c r="M109" s="6"/>
      <c r="N109" s="6"/>
      <c r="O109" s="6"/>
    </row>
    <row r="110" spans="1:15" x14ac:dyDescent="0.3">
      <c r="A110" s="6"/>
      <c r="B110" s="6"/>
      <c r="C110" s="7"/>
      <c r="D110" s="6"/>
      <c r="E110" s="6"/>
      <c r="F110" s="6"/>
      <c r="G110" s="6"/>
      <c r="H110" s="6"/>
      <c r="I110" s="8"/>
      <c r="J110" s="6"/>
      <c r="K110" s="6"/>
      <c r="L110" s="6"/>
      <c r="M110" s="6"/>
      <c r="N110" s="6"/>
      <c r="O110" s="6"/>
    </row>
    <row r="111" spans="1:15" x14ac:dyDescent="0.3">
      <c r="A111" s="6"/>
      <c r="B111" s="6"/>
      <c r="C111" s="7"/>
      <c r="D111" s="6"/>
      <c r="E111" s="6"/>
      <c r="F111" s="6"/>
      <c r="G111" s="6"/>
      <c r="H111" s="6"/>
      <c r="I111" s="8"/>
      <c r="J111" s="6"/>
      <c r="K111" s="6"/>
      <c r="L111" s="6"/>
      <c r="M111" s="6"/>
      <c r="N111" s="6"/>
      <c r="O111" s="6"/>
    </row>
    <row r="112" spans="1:15" x14ac:dyDescent="0.3">
      <c r="A112" s="6"/>
      <c r="B112" s="6"/>
      <c r="C112" s="7"/>
      <c r="D112" s="6"/>
      <c r="E112" s="6"/>
      <c r="F112" s="6"/>
      <c r="G112" s="6"/>
      <c r="H112" s="6"/>
      <c r="I112" s="8"/>
      <c r="J112" s="6"/>
      <c r="K112" s="6"/>
      <c r="L112" s="6"/>
      <c r="M112" s="6"/>
      <c r="N112" s="6"/>
      <c r="O112" s="6"/>
    </row>
    <row r="113" spans="1:15" x14ac:dyDescent="0.3">
      <c r="A113" s="6"/>
      <c r="B113" s="6"/>
      <c r="C113" s="7"/>
      <c r="D113" s="6"/>
      <c r="E113" s="6"/>
      <c r="F113" s="6"/>
      <c r="G113" s="6"/>
      <c r="H113" s="6"/>
      <c r="I113" s="8"/>
      <c r="J113" s="6"/>
      <c r="K113" s="6"/>
      <c r="L113" s="6"/>
      <c r="M113" s="6"/>
      <c r="N113" s="6"/>
      <c r="O113" s="6"/>
    </row>
    <row r="114" spans="1:15" x14ac:dyDescent="0.3">
      <c r="A114" s="6"/>
      <c r="B114" s="6"/>
      <c r="C114" s="7"/>
      <c r="D114" s="6"/>
      <c r="E114" s="6"/>
      <c r="F114" s="6"/>
      <c r="G114" s="6"/>
      <c r="H114" s="6"/>
      <c r="I114" s="8"/>
      <c r="J114" s="6"/>
      <c r="K114" s="6"/>
      <c r="L114" s="6"/>
      <c r="M114" s="6"/>
      <c r="N114" s="6"/>
      <c r="O114" s="6"/>
    </row>
    <row r="115" spans="1:15" x14ac:dyDescent="0.3">
      <c r="A115" s="6"/>
      <c r="B115" s="6"/>
      <c r="C115" s="7"/>
      <c r="D115" s="6"/>
      <c r="E115" s="6"/>
      <c r="F115" s="6"/>
      <c r="G115" s="6"/>
      <c r="H115" s="6"/>
      <c r="I115" s="8"/>
      <c r="J115" s="6"/>
      <c r="K115" s="6"/>
      <c r="L115" s="6"/>
      <c r="M115" s="6"/>
      <c r="N115" s="6"/>
      <c r="O115" s="6"/>
    </row>
    <row r="116" spans="1:15" x14ac:dyDescent="0.3">
      <c r="A116" s="6"/>
      <c r="B116" s="6"/>
      <c r="C116" s="7"/>
      <c r="D116" s="6"/>
      <c r="E116" s="6"/>
      <c r="F116" s="6"/>
      <c r="G116" s="6"/>
      <c r="H116" s="6"/>
      <c r="I116" s="8"/>
      <c r="J116" s="6"/>
      <c r="K116" s="6"/>
      <c r="L116" s="6"/>
      <c r="M116" s="6"/>
      <c r="N116" s="6"/>
      <c r="O116" s="6"/>
    </row>
    <row r="117" spans="1:15" x14ac:dyDescent="0.3">
      <c r="A117" s="6"/>
      <c r="B117" s="6"/>
      <c r="C117" s="7"/>
      <c r="D117" s="6"/>
      <c r="E117" s="6"/>
      <c r="F117" s="6"/>
      <c r="G117" s="6"/>
      <c r="H117" s="6"/>
      <c r="I117" s="8"/>
      <c r="J117" s="6"/>
      <c r="K117" s="6"/>
      <c r="L117" s="6"/>
      <c r="M117" s="6"/>
      <c r="N117" s="6"/>
      <c r="O117" s="6"/>
    </row>
    <row r="118" spans="1:15" x14ac:dyDescent="0.3">
      <c r="A118" s="6"/>
      <c r="B118" s="6"/>
      <c r="C118" s="7"/>
      <c r="D118" s="6"/>
      <c r="E118" s="6"/>
      <c r="F118" s="6"/>
      <c r="G118" s="6"/>
      <c r="H118" s="6"/>
      <c r="I118" s="8"/>
      <c r="J118" s="6"/>
      <c r="K118" s="6"/>
      <c r="L118" s="6"/>
      <c r="M118" s="6"/>
      <c r="N118" s="6"/>
      <c r="O118" s="6"/>
    </row>
    <row r="119" spans="1:15" x14ac:dyDescent="0.3">
      <c r="A119" s="6"/>
      <c r="B119" s="6"/>
      <c r="C119" s="7"/>
      <c r="D119" s="6"/>
      <c r="E119" s="6"/>
      <c r="F119" s="6"/>
      <c r="G119" s="6"/>
      <c r="H119" s="6"/>
      <c r="I119" s="8"/>
      <c r="J119" s="6"/>
      <c r="K119" s="6"/>
      <c r="L119" s="6"/>
      <c r="M119" s="6"/>
      <c r="N119" s="6"/>
      <c r="O119" s="6"/>
    </row>
    <row r="120" spans="1:15" x14ac:dyDescent="0.3">
      <c r="A120" s="6"/>
      <c r="B120" s="6"/>
      <c r="C120" s="7"/>
      <c r="D120" s="6"/>
      <c r="E120" s="6"/>
      <c r="F120" s="6"/>
      <c r="G120" s="6"/>
      <c r="H120" s="6"/>
      <c r="I120" s="8"/>
      <c r="J120" s="6"/>
      <c r="K120" s="6"/>
      <c r="L120" s="6"/>
      <c r="M120" s="6"/>
      <c r="N120" s="6"/>
      <c r="O120" s="6"/>
    </row>
    <row r="121" spans="1:15" x14ac:dyDescent="0.3">
      <c r="A121" s="6"/>
      <c r="B121" s="6"/>
      <c r="C121" s="7"/>
      <c r="D121" s="6"/>
      <c r="E121" s="6"/>
      <c r="F121" s="6"/>
      <c r="G121" s="6"/>
      <c r="H121" s="6"/>
      <c r="I121" s="8"/>
      <c r="J121" s="6"/>
      <c r="K121" s="6"/>
      <c r="L121" s="6"/>
      <c r="M121" s="6"/>
      <c r="N121" s="6"/>
      <c r="O121" s="6"/>
    </row>
    <row r="122" spans="1:15" x14ac:dyDescent="0.3">
      <c r="A122" s="6"/>
      <c r="B122" s="6"/>
      <c r="C122" s="7"/>
      <c r="D122" s="6"/>
      <c r="E122" s="6"/>
      <c r="F122" s="6"/>
      <c r="G122" s="6"/>
      <c r="H122" s="6"/>
      <c r="I122" s="8"/>
      <c r="J122" s="6"/>
      <c r="K122" s="6"/>
      <c r="L122" s="6"/>
      <c r="M122" s="6"/>
      <c r="N122" s="6"/>
      <c r="O122" s="6"/>
    </row>
    <row r="123" spans="1:15" x14ac:dyDescent="0.3">
      <c r="A123" s="6"/>
      <c r="B123" s="6"/>
      <c r="C123" s="7"/>
      <c r="D123" s="6"/>
      <c r="E123" s="6"/>
      <c r="F123" s="6"/>
      <c r="G123" s="6"/>
      <c r="H123" s="6"/>
      <c r="I123" s="8"/>
      <c r="J123" s="6"/>
      <c r="K123" s="6"/>
      <c r="L123" s="6"/>
      <c r="M123" s="6"/>
      <c r="N123" s="6"/>
      <c r="O123" s="6"/>
    </row>
    <row r="124" spans="1:15" x14ac:dyDescent="0.3">
      <c r="A124" s="6"/>
      <c r="B124" s="6"/>
      <c r="C124" s="7"/>
      <c r="D124" s="6"/>
      <c r="E124" s="6"/>
      <c r="F124" s="6"/>
      <c r="G124" s="6"/>
      <c r="H124" s="6"/>
      <c r="I124" s="8"/>
      <c r="J124" s="6"/>
      <c r="K124" s="6"/>
      <c r="L124" s="6"/>
      <c r="M124" s="6"/>
      <c r="N124" s="6"/>
      <c r="O124" s="6"/>
    </row>
    <row r="125" spans="1:15" x14ac:dyDescent="0.3">
      <c r="A125" s="6"/>
      <c r="B125" s="6"/>
      <c r="C125" s="7"/>
      <c r="D125" s="6"/>
      <c r="E125" s="6"/>
      <c r="F125" s="6"/>
      <c r="G125" s="6"/>
      <c r="H125" s="6"/>
      <c r="I125" s="8"/>
      <c r="J125" s="6"/>
      <c r="K125" s="6"/>
      <c r="L125" s="6"/>
      <c r="M125" s="6"/>
      <c r="N125" s="6"/>
      <c r="O125" s="6"/>
    </row>
    <row r="126" spans="1:15" x14ac:dyDescent="0.3">
      <c r="A126" s="6"/>
      <c r="B126" s="6"/>
      <c r="C126" s="7"/>
      <c r="D126" s="6"/>
      <c r="E126" s="6"/>
      <c r="F126" s="6"/>
      <c r="G126" s="6"/>
      <c r="H126" s="6"/>
      <c r="I126" s="8"/>
      <c r="J126" s="6"/>
      <c r="K126" s="6"/>
      <c r="L126" s="6"/>
      <c r="M126" s="6"/>
      <c r="N126" s="6"/>
      <c r="O126" s="6"/>
    </row>
    <row r="127" spans="1:15" x14ac:dyDescent="0.3">
      <c r="A127" s="6"/>
      <c r="B127" s="6"/>
      <c r="C127" s="7"/>
      <c r="D127" s="6"/>
      <c r="E127" s="6"/>
      <c r="F127" s="6"/>
      <c r="G127" s="6"/>
      <c r="H127" s="6"/>
      <c r="I127" s="8"/>
      <c r="J127" s="6"/>
      <c r="K127" s="6"/>
      <c r="L127" s="6"/>
      <c r="M127" s="6"/>
      <c r="N127" s="6"/>
      <c r="O127" s="6"/>
    </row>
    <row r="128" spans="1:15" x14ac:dyDescent="0.3">
      <c r="A128" s="6"/>
      <c r="B128" s="6"/>
      <c r="C128" s="7"/>
      <c r="D128" s="6"/>
      <c r="E128" s="6"/>
      <c r="F128" s="6"/>
      <c r="G128" s="6"/>
      <c r="H128" s="6"/>
      <c r="I128" s="8"/>
      <c r="J128" s="6"/>
      <c r="K128" s="6"/>
      <c r="L128" s="6"/>
      <c r="M128" s="6"/>
      <c r="N128" s="6"/>
      <c r="O128" s="6"/>
    </row>
    <row r="129" spans="1:15" x14ac:dyDescent="0.3">
      <c r="A129" s="6"/>
      <c r="B129" s="6"/>
      <c r="C129" s="7"/>
      <c r="D129" s="6"/>
      <c r="E129" s="6"/>
      <c r="F129" s="6"/>
      <c r="G129" s="6"/>
      <c r="H129" s="6"/>
      <c r="I129" s="8"/>
      <c r="J129" s="6"/>
      <c r="K129" s="6"/>
      <c r="L129" s="6"/>
      <c r="M129" s="6"/>
      <c r="N129" s="6"/>
      <c r="O129" s="6"/>
    </row>
    <row r="130" spans="1:15" x14ac:dyDescent="0.3">
      <c r="A130" s="6"/>
      <c r="B130" s="6"/>
      <c r="C130" s="7"/>
      <c r="D130" s="6"/>
      <c r="E130" s="6"/>
      <c r="F130" s="6"/>
      <c r="G130" s="6"/>
      <c r="H130" s="6"/>
      <c r="I130" s="8"/>
      <c r="J130" s="6"/>
      <c r="K130" s="6"/>
      <c r="L130" s="6"/>
      <c r="M130" s="6"/>
      <c r="N130" s="6"/>
      <c r="O130" s="6"/>
    </row>
    <row r="131" spans="1:15" x14ac:dyDescent="0.3">
      <c r="A131" s="6"/>
      <c r="B131" s="6"/>
      <c r="C131" s="7"/>
      <c r="D131" s="6"/>
      <c r="E131" s="6"/>
      <c r="F131" s="6"/>
      <c r="G131" s="6"/>
      <c r="H131" s="6"/>
      <c r="I131" s="8"/>
      <c r="J131" s="6"/>
      <c r="K131" s="6"/>
      <c r="L131" s="6"/>
      <c r="M131" s="6"/>
      <c r="N131" s="6"/>
      <c r="O131" s="6"/>
    </row>
    <row r="132" spans="1:15" x14ac:dyDescent="0.3">
      <c r="A132" s="6"/>
      <c r="B132" s="6"/>
      <c r="C132" s="7"/>
      <c r="D132" s="6"/>
      <c r="E132" s="6"/>
      <c r="F132" s="6"/>
      <c r="G132" s="6"/>
      <c r="H132" s="6"/>
      <c r="I132" s="8"/>
      <c r="J132" s="6"/>
      <c r="K132" s="6"/>
      <c r="L132" s="6"/>
      <c r="M132" s="6"/>
      <c r="N132" s="6"/>
      <c r="O132" s="6"/>
    </row>
    <row r="133" spans="1:15" x14ac:dyDescent="0.3">
      <c r="A133" s="6"/>
      <c r="B133" s="6"/>
      <c r="C133" s="7"/>
      <c r="D133" s="6"/>
      <c r="E133" s="6"/>
      <c r="F133" s="6"/>
      <c r="G133" s="6"/>
      <c r="H133" s="6"/>
      <c r="I133" s="8"/>
      <c r="J133" s="6"/>
      <c r="K133" s="6"/>
      <c r="L133" s="6"/>
      <c r="M133" s="6"/>
      <c r="N133" s="6"/>
      <c r="O133" s="6"/>
    </row>
    <row r="134" spans="1:15" x14ac:dyDescent="0.3">
      <c r="A134" s="6"/>
      <c r="B134" s="6"/>
      <c r="C134" s="7"/>
      <c r="D134" s="6"/>
      <c r="E134" s="6"/>
      <c r="F134" s="6"/>
      <c r="G134" s="6"/>
      <c r="H134" s="6"/>
      <c r="I134" s="8"/>
      <c r="J134" s="6"/>
      <c r="K134" s="6"/>
      <c r="L134" s="6"/>
      <c r="M134" s="6"/>
      <c r="N134" s="6"/>
      <c r="O134" s="6"/>
    </row>
    <row r="135" spans="1:15" x14ac:dyDescent="0.3">
      <c r="A135" s="6"/>
      <c r="B135" s="6"/>
      <c r="C135" s="7"/>
      <c r="D135" s="6"/>
      <c r="E135" s="6"/>
      <c r="F135" s="6"/>
      <c r="G135" s="6"/>
      <c r="H135" s="6"/>
      <c r="I135" s="8"/>
      <c r="J135" s="6"/>
      <c r="K135" s="6"/>
      <c r="L135" s="6"/>
      <c r="M135" s="6"/>
      <c r="N135" s="6"/>
      <c r="O135" s="6"/>
    </row>
    <row r="136" spans="1:15" x14ac:dyDescent="0.3">
      <c r="A136" s="6"/>
      <c r="B136" s="6"/>
      <c r="C136" s="7"/>
      <c r="D136" s="6"/>
      <c r="E136" s="6"/>
      <c r="F136" s="6"/>
      <c r="G136" s="6"/>
      <c r="H136" s="6"/>
      <c r="I136" s="8"/>
      <c r="J136" s="6"/>
      <c r="K136" s="6"/>
      <c r="L136" s="6"/>
      <c r="M136" s="6"/>
      <c r="N136" s="6"/>
      <c r="O136" s="6"/>
    </row>
    <row r="137" spans="1:15" x14ac:dyDescent="0.3">
      <c r="A137" s="6"/>
      <c r="B137" s="6"/>
      <c r="C137" s="7"/>
      <c r="D137" s="6"/>
      <c r="E137" s="6"/>
      <c r="F137" s="6"/>
      <c r="G137" s="6"/>
      <c r="H137" s="6"/>
      <c r="I137" s="8"/>
      <c r="J137" s="6"/>
      <c r="K137" s="6"/>
      <c r="L137" s="6"/>
      <c r="M137" s="6"/>
      <c r="N137" s="6"/>
      <c r="O137" s="6"/>
    </row>
    <row r="138" spans="1:15" x14ac:dyDescent="0.3">
      <c r="A138" s="6"/>
      <c r="B138" s="6"/>
      <c r="C138" s="7"/>
      <c r="D138" s="6"/>
      <c r="E138" s="6"/>
      <c r="F138" s="6"/>
      <c r="G138" s="6"/>
      <c r="H138" s="6"/>
      <c r="I138" s="8"/>
      <c r="J138" s="6"/>
      <c r="K138" s="6"/>
      <c r="L138" s="6"/>
      <c r="M138" s="6"/>
      <c r="N138" s="6"/>
      <c r="O138" s="6"/>
    </row>
    <row r="139" spans="1:15" x14ac:dyDescent="0.3">
      <c r="A139" s="6"/>
      <c r="B139" s="6"/>
      <c r="C139" s="7"/>
      <c r="D139" s="6"/>
      <c r="E139" s="6"/>
      <c r="F139" s="6"/>
      <c r="G139" s="6"/>
      <c r="H139" s="6"/>
      <c r="I139" s="8"/>
      <c r="J139" s="6"/>
      <c r="K139" s="6"/>
      <c r="L139" s="6"/>
      <c r="M139" s="6"/>
      <c r="N139" s="6"/>
      <c r="O139" s="6"/>
    </row>
    <row r="140" spans="1:15" x14ac:dyDescent="0.3">
      <c r="A140" s="6"/>
      <c r="B140" s="6"/>
      <c r="C140" s="7"/>
      <c r="D140" s="6"/>
      <c r="E140" s="6"/>
      <c r="F140" s="6"/>
      <c r="G140" s="6"/>
      <c r="H140" s="6"/>
      <c r="I140" s="8"/>
      <c r="J140" s="6"/>
      <c r="K140" s="6"/>
      <c r="L140" s="6"/>
      <c r="M140" s="6"/>
      <c r="N140" s="6"/>
      <c r="O140" s="6"/>
    </row>
    <row r="141" spans="1:15" x14ac:dyDescent="0.3">
      <c r="A141" s="6"/>
      <c r="B141" s="6"/>
      <c r="C141" s="7"/>
      <c r="D141" s="6"/>
      <c r="E141" s="6"/>
      <c r="F141" s="6"/>
      <c r="G141" s="6"/>
      <c r="H141" s="6"/>
      <c r="I141" s="8"/>
      <c r="J141" s="6"/>
      <c r="K141" s="6"/>
      <c r="L141" s="6"/>
      <c r="M141" s="6"/>
      <c r="N141" s="6"/>
      <c r="O141" s="6"/>
    </row>
    <row r="142" spans="1:15" x14ac:dyDescent="0.3">
      <c r="A142" s="6"/>
      <c r="B142" s="6"/>
      <c r="C142" s="7"/>
      <c r="D142" s="6"/>
      <c r="E142" s="6"/>
      <c r="F142" s="6"/>
      <c r="G142" s="6"/>
      <c r="H142" s="6"/>
      <c r="I142" s="8"/>
      <c r="J142" s="6"/>
      <c r="K142" s="6"/>
      <c r="L142" s="6"/>
      <c r="M142" s="6"/>
      <c r="N142" s="6"/>
      <c r="O142" s="6"/>
    </row>
    <row r="143" spans="1:15" x14ac:dyDescent="0.3">
      <c r="A143" s="6"/>
      <c r="B143" s="6"/>
      <c r="C143" s="7"/>
      <c r="D143" s="6"/>
      <c r="E143" s="6"/>
      <c r="F143" s="6"/>
      <c r="G143" s="6"/>
      <c r="H143" s="6"/>
      <c r="I143" s="8"/>
      <c r="J143" s="6"/>
      <c r="K143" s="6"/>
      <c r="L143" s="6"/>
      <c r="M143" s="6"/>
      <c r="N143" s="6"/>
      <c r="O143" s="6"/>
    </row>
    <row r="144" spans="1:15" x14ac:dyDescent="0.3">
      <c r="A144" s="6"/>
      <c r="B144" s="6"/>
      <c r="C144" s="7"/>
      <c r="D144" s="6"/>
      <c r="E144" s="6"/>
      <c r="F144" s="6"/>
      <c r="G144" s="6"/>
      <c r="H144" s="6"/>
      <c r="I144" s="8"/>
      <c r="J144" s="6"/>
      <c r="K144" s="6"/>
      <c r="L144" s="6"/>
      <c r="M144" s="6"/>
      <c r="N144" s="6"/>
      <c r="O144" s="6"/>
    </row>
    <row r="145" spans="1:15" x14ac:dyDescent="0.3">
      <c r="A145" s="6"/>
      <c r="B145" s="6"/>
      <c r="C145" s="7"/>
      <c r="D145" s="6"/>
      <c r="E145" s="6"/>
      <c r="F145" s="6"/>
      <c r="G145" s="6"/>
      <c r="H145" s="6"/>
      <c r="I145" s="8"/>
      <c r="J145" s="6"/>
      <c r="K145" s="6"/>
      <c r="L145" s="6"/>
      <c r="M145" s="6"/>
      <c r="N145" s="6"/>
      <c r="O145" s="6"/>
    </row>
    <row r="146" spans="1:15" x14ac:dyDescent="0.3">
      <c r="A146" s="6"/>
      <c r="B146" s="6"/>
      <c r="C146" s="7"/>
      <c r="D146" s="6"/>
      <c r="E146" s="6"/>
      <c r="F146" s="6"/>
      <c r="G146" s="6"/>
      <c r="H146" s="6"/>
      <c r="I146" s="8"/>
      <c r="J146" s="6"/>
      <c r="K146" s="6"/>
      <c r="L146" s="6"/>
      <c r="M146" s="6"/>
      <c r="N146" s="6"/>
      <c r="O146" s="6"/>
    </row>
    <row r="147" spans="1:15" x14ac:dyDescent="0.3">
      <c r="A147" s="6"/>
      <c r="B147" s="6"/>
      <c r="C147" s="7"/>
      <c r="D147" s="6"/>
      <c r="E147" s="6"/>
      <c r="F147" s="6"/>
      <c r="G147" s="6"/>
      <c r="H147" s="6"/>
      <c r="I147" s="8"/>
      <c r="J147" s="6"/>
      <c r="K147" s="6"/>
      <c r="L147" s="6"/>
      <c r="M147" s="6"/>
      <c r="N147" s="6"/>
      <c r="O147" s="6"/>
    </row>
    <row r="148" spans="1:15" x14ac:dyDescent="0.3">
      <c r="A148" s="6"/>
      <c r="B148" s="6"/>
      <c r="C148" s="7"/>
      <c r="D148" s="6"/>
      <c r="E148" s="6"/>
      <c r="F148" s="6"/>
      <c r="G148" s="6"/>
      <c r="H148" s="6"/>
      <c r="I148" s="8"/>
      <c r="J148" s="6"/>
      <c r="K148" s="6"/>
      <c r="L148" s="6"/>
      <c r="M148" s="6"/>
      <c r="N148" s="6"/>
      <c r="O148" s="6"/>
    </row>
    <row r="149" spans="1:15" x14ac:dyDescent="0.3">
      <c r="A149" s="6"/>
      <c r="B149" s="6"/>
      <c r="C149" s="7"/>
      <c r="D149" s="6"/>
      <c r="E149" s="6"/>
      <c r="F149" s="6"/>
      <c r="G149" s="6"/>
      <c r="H149" s="6"/>
      <c r="I149" s="8"/>
      <c r="J149" s="6"/>
      <c r="K149" s="6"/>
      <c r="L149" s="6"/>
      <c r="M149" s="6"/>
      <c r="N149" s="6"/>
      <c r="O149" s="6"/>
    </row>
    <row r="150" spans="1:15" x14ac:dyDescent="0.3">
      <c r="A150" s="6"/>
      <c r="B150" s="6"/>
      <c r="C150" s="7"/>
      <c r="D150" s="6"/>
      <c r="E150" s="6"/>
      <c r="F150" s="6"/>
      <c r="G150" s="6"/>
      <c r="H150" s="6"/>
      <c r="I150" s="8"/>
      <c r="J150" s="6"/>
      <c r="K150" s="6"/>
      <c r="L150" s="6"/>
      <c r="M150" s="6"/>
      <c r="N150" s="6"/>
      <c r="O150" s="6"/>
    </row>
    <row r="151" spans="1:15" x14ac:dyDescent="0.3">
      <c r="A151" s="6"/>
      <c r="B151" s="6"/>
      <c r="C151" s="7"/>
      <c r="D151" s="6"/>
      <c r="E151" s="6"/>
      <c r="F151" s="6"/>
      <c r="G151" s="6"/>
      <c r="H151" s="6"/>
      <c r="I151" s="8"/>
      <c r="J151" s="6"/>
      <c r="K151" s="6"/>
      <c r="L151" s="6"/>
      <c r="M151" s="6"/>
      <c r="N151" s="6"/>
      <c r="O151" s="6"/>
    </row>
    <row r="152" spans="1:15" x14ac:dyDescent="0.3">
      <c r="A152" s="6"/>
      <c r="B152" s="6"/>
      <c r="C152" s="7"/>
      <c r="D152" s="6"/>
      <c r="E152" s="6"/>
      <c r="F152" s="6"/>
      <c r="G152" s="6"/>
      <c r="H152" s="6"/>
      <c r="I152" s="8"/>
      <c r="J152" s="6"/>
      <c r="K152" s="6"/>
      <c r="L152" s="6"/>
      <c r="M152" s="6"/>
      <c r="N152" s="6"/>
      <c r="O152" s="6"/>
    </row>
    <row r="153" spans="1:15" x14ac:dyDescent="0.3">
      <c r="A153" s="6"/>
      <c r="B153" s="6"/>
      <c r="C153" s="7"/>
      <c r="D153" s="6"/>
      <c r="E153" s="6"/>
      <c r="F153" s="6"/>
      <c r="G153" s="6"/>
      <c r="H153" s="6"/>
      <c r="I153" s="8"/>
      <c r="J153" s="6"/>
      <c r="K153" s="6"/>
      <c r="L153" s="6"/>
      <c r="M153" s="6"/>
      <c r="N153" s="6"/>
      <c r="O153" s="6"/>
    </row>
  </sheetData>
  <phoneticPr fontId="2" type="noConversion"/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Bùi Thị Quỳnh</dc:creator>
  <cp:lastModifiedBy>Hoa. Bùi Thị Quỳnh</cp:lastModifiedBy>
  <cp:lastPrinted>2026-05-04T03:19:20Z</cp:lastPrinted>
  <dcterms:created xsi:type="dcterms:W3CDTF">2025-08-22T04:29:13Z</dcterms:created>
  <dcterms:modified xsi:type="dcterms:W3CDTF">2026-06-13T03:02:05Z</dcterms:modified>
</cp:coreProperties>
</file>